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dsiDEV\"/>
    </mc:Choice>
  </mc:AlternateContent>
  <xr:revisionPtr revIDLastSave="0" documentId="13_ncr:1_{D55F1475-B8FF-4680-8F66-120D037DA0CA}" xr6:coauthVersionLast="47" xr6:coauthVersionMax="47" xr10:uidLastSave="{00000000-0000-0000-0000-000000000000}"/>
  <bookViews>
    <workbookView xWindow="-24660" yWindow="6075" windowWidth="21600" windowHeight="11235" xr2:uid="{65226CD2-8908-4D0C-AE12-6223602DD092}"/>
  </bookViews>
  <sheets>
    <sheet name="Feuil1" sheetId="1" r:id="rId1"/>
  </sheets>
  <definedNames>
    <definedName name="_xlnm._FilterDatabase" localSheetId="0" hidden="1">Feuil1!$A$1:$I$106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</calcChain>
</file>

<file path=xl/sharedStrings.xml><?xml version="1.0" encoding="utf-8"?>
<sst xmlns="http://schemas.openxmlformats.org/spreadsheetml/2006/main" count="429" uniqueCount="158">
  <si>
    <t>MCO</t>
  </si>
  <si>
    <t>C. Fonc.</t>
  </si>
  <si>
    <t>Montant prévu</t>
  </si>
  <si>
    <t>Terminé</t>
  </si>
  <si>
    <t>Commentaire</t>
  </si>
  <si>
    <t>Ecoles (Matériel)</t>
  </si>
  <si>
    <t>oui</t>
  </si>
  <si>
    <t>NON</t>
  </si>
  <si>
    <t>Ecoles (Divers)</t>
  </si>
  <si>
    <t>Ecoles (VPI)</t>
  </si>
  <si>
    <t>BF6</t>
  </si>
  <si>
    <t>Ecoles (Cablages)</t>
  </si>
  <si>
    <t>Cybersécurité (Logiciels)</t>
  </si>
  <si>
    <t>BF1</t>
  </si>
  <si>
    <t>Renouvellement copieurs</t>
  </si>
  <si>
    <t>Office 365</t>
  </si>
  <si>
    <t>Certificats Electroniques</t>
  </si>
  <si>
    <t>Licences Antivirus</t>
  </si>
  <si>
    <t>Paiement année 2</t>
  </si>
  <si>
    <t>SOC AISI</t>
  </si>
  <si>
    <t>Licences UTM / Firewall</t>
  </si>
  <si>
    <t>licences 3 ans</t>
  </si>
  <si>
    <t>Bonus DSI</t>
  </si>
  <si>
    <t>non</t>
  </si>
  <si>
    <t>Licences Diverses</t>
  </si>
  <si>
    <t xml:space="preserve">Petits Cablages bâtiments communaux </t>
  </si>
  <si>
    <t>Renouvellement Matériels Actifs (Switching, Wifi, onduleurs …)</t>
  </si>
  <si>
    <t>Matériel Renouvellement Serveurs / SAN</t>
  </si>
  <si>
    <t>Matériels Téléphonie</t>
  </si>
  <si>
    <t xml:space="preserve">PROJETS INFRASTRUCTURE (130K à répartir) - Reste : </t>
  </si>
  <si>
    <t>Ondueurs Robespierre / HDV</t>
  </si>
  <si>
    <t>Modernisation téléphonie</t>
  </si>
  <si>
    <t>Bornes Wifi</t>
  </si>
  <si>
    <t>-</t>
  </si>
  <si>
    <t>BF9</t>
  </si>
  <si>
    <t>Matériels - demandes courantes des Services</t>
  </si>
  <si>
    <t>Logiciels - demande courantes des Services</t>
  </si>
  <si>
    <t>Licences annuelles avec engagement  (AutoCAD)</t>
  </si>
  <si>
    <t>Renouvellement du parc (Base)</t>
  </si>
  <si>
    <t>Reconditionnement PC (SSD, mémoire…)</t>
  </si>
  <si>
    <t>Moyens d'impression (imprimantes, scanner…)</t>
  </si>
  <si>
    <t xml:space="preserve">Téléphones mobiles et smartphones pour services </t>
  </si>
  <si>
    <t>Projet Renouvellement copieurs</t>
  </si>
  <si>
    <t>Suite arrêt maintenance</t>
  </si>
  <si>
    <t>Renouvellement parc élus</t>
  </si>
  <si>
    <t>BF8</t>
  </si>
  <si>
    <t>Adelyce</t>
  </si>
  <si>
    <t>Galaxie TAAM</t>
  </si>
  <si>
    <t>Neocity</t>
  </si>
  <si>
    <t xml:space="preserve">Synbird </t>
  </si>
  <si>
    <t>Renouvellement 3 ans</t>
  </si>
  <si>
    <t>Gestion des archives</t>
  </si>
  <si>
    <t>Archives Physiques</t>
  </si>
  <si>
    <t>Suivi des fluides</t>
  </si>
  <si>
    <t>Vote electronique</t>
  </si>
  <si>
    <t>montée version ARPEGE / Concerto</t>
  </si>
  <si>
    <t>Gestion des ATSL</t>
  </si>
  <si>
    <t>CartADS</t>
  </si>
  <si>
    <t>Tablettes Hangar/Luxy</t>
  </si>
  <si>
    <t>Logiciel SKELLO - Plannification</t>
  </si>
  <si>
    <t>Dématerialisations des CREP</t>
  </si>
  <si>
    <t>Inser propose un module</t>
  </si>
  <si>
    <t>Portail agent/RH Inser</t>
  </si>
  <si>
    <t xml:space="preserve">Sedit GF </t>
  </si>
  <si>
    <t>Dév comptabilité analytique</t>
  </si>
  <si>
    <t>C. Nature</t>
  </si>
  <si>
    <t>Frais de télécommunications 020</t>
  </si>
  <si>
    <t>Frais de télécommunications 213</t>
  </si>
  <si>
    <t>Frais de télécommunications 321</t>
  </si>
  <si>
    <t>Frais de télécommunications 332</t>
  </si>
  <si>
    <t>Frais de télécommunications 4221</t>
  </si>
  <si>
    <t>Frais de télécommunications 420</t>
  </si>
  <si>
    <t>SMS Millesime</t>
  </si>
  <si>
    <t>Prestations de services</t>
  </si>
  <si>
    <t>Prestations de services DSI</t>
  </si>
  <si>
    <t>SDSI (Schéma Directeur)</t>
  </si>
  <si>
    <t>Prestations de services Ecoles</t>
  </si>
  <si>
    <t>Accompagnement numérique responsable (Lucas)</t>
  </si>
  <si>
    <t>Accompagnement Microsoft (Lucas)</t>
  </si>
  <si>
    <t>Accompagnement Gouvernance de la donnée (Martin)</t>
  </si>
  <si>
    <t xml:space="preserve">Etudes et recherches </t>
  </si>
  <si>
    <t>RAAT Ville</t>
  </si>
  <si>
    <t>Etudes et recherches</t>
  </si>
  <si>
    <t>RAAT Ecoles</t>
  </si>
  <si>
    <t>Autres impôts, taxes et versements assimilés (autres organismes)</t>
  </si>
  <si>
    <t>Redevance Radio</t>
  </si>
  <si>
    <t>Fournitures administratives</t>
  </si>
  <si>
    <t>Consommables - Lampes</t>
  </si>
  <si>
    <t>Maintenance copieurs</t>
  </si>
  <si>
    <t>Augmentation mécanique (+ de copieurs)</t>
  </si>
  <si>
    <t>Formations DSI</t>
  </si>
  <si>
    <t>Prestations diverses DSI hors contrat</t>
  </si>
  <si>
    <t>Déménagements copieurs</t>
  </si>
  <si>
    <t>Organismes de regroupement Coter, Resah, Sipperec, Canut…</t>
  </si>
  <si>
    <t>Centrales d'achat</t>
  </si>
  <si>
    <t>[Ecoles] Fournitures de petit équipement</t>
  </si>
  <si>
    <t>adaptation à la réalité</t>
  </si>
  <si>
    <t>[Ecoles] Informatique en nuage IAAS</t>
  </si>
  <si>
    <t>Sécu Tablettes (Tiny…)</t>
  </si>
  <si>
    <t>Maintenance outils Cyber</t>
  </si>
  <si>
    <t>RubyCAT</t>
  </si>
  <si>
    <t>[Cybersécu] Prestations accompagnement</t>
  </si>
  <si>
    <t>[Cybersécu] IAAS</t>
  </si>
  <si>
    <t>Cybersécu MDM / Youzer / NameShield / Cyberwatch / Specops /Board of Cyber …</t>
  </si>
  <si>
    <t>Pentests (tests de pénétration)</t>
  </si>
  <si>
    <t>Petits équipements BF6</t>
  </si>
  <si>
    <t>Contrats de prestations de services</t>
  </si>
  <si>
    <t>Prestations de services BF6</t>
  </si>
  <si>
    <t>Maintenance BF6</t>
  </si>
  <si>
    <t>Maintenance logiciels - Newis, SCCM, VXRail</t>
  </si>
  <si>
    <t>Prestations diverses BF6 hors contrat</t>
  </si>
  <si>
    <t>Prestation exceptionnelles diverses</t>
  </si>
  <si>
    <t>Frais de nettoyage des locaux</t>
  </si>
  <si>
    <t>Licences SAAS IAAS BF6</t>
  </si>
  <si>
    <t>Rainbow, Pandora, Xtrem …</t>
  </si>
  <si>
    <t>Logiciel On Premise - Souscription</t>
  </si>
  <si>
    <t>DBSqware</t>
  </si>
  <si>
    <t>Location baie GIPC</t>
  </si>
  <si>
    <t>Oubli sur 2026…</t>
  </si>
  <si>
    <t>Prestations diverses</t>
  </si>
  <si>
    <t>Maintenance Logiciels Métier</t>
  </si>
  <si>
    <t>Divers</t>
  </si>
  <si>
    <t>Récupération logiciels SIIM + talkie</t>
  </si>
  <si>
    <t>Maintenance SIRH / SII</t>
  </si>
  <si>
    <t>Prestations SII</t>
  </si>
  <si>
    <t>Formations Métier</t>
  </si>
  <si>
    <t>Ensemble des formations à organiser</t>
  </si>
  <si>
    <t>Prestas Diverses BF8</t>
  </si>
  <si>
    <t>Prestation diverses à la volée</t>
  </si>
  <si>
    <t>Monétique</t>
  </si>
  <si>
    <t>Monétique Luxy</t>
  </si>
  <si>
    <t>IAAS Métier</t>
  </si>
  <si>
    <t>Fast, paybox, interfaces RH, papercut, S2low…</t>
  </si>
  <si>
    <t>SAAS Santé</t>
  </si>
  <si>
    <t>Doctolib, cupidon…</t>
  </si>
  <si>
    <t>SAAS CMPP</t>
  </si>
  <si>
    <t>SAAS</t>
  </si>
  <si>
    <t>142K contraints + 30K nouveaux projets</t>
  </si>
  <si>
    <t>Maintenance - Restauration municipale</t>
  </si>
  <si>
    <t>Maintenance - Luxy</t>
  </si>
  <si>
    <t>Petits équipements BF9</t>
  </si>
  <si>
    <t>Consommables</t>
  </si>
  <si>
    <t>Consommables Luxy</t>
  </si>
  <si>
    <t>Prestations de services BF9</t>
  </si>
  <si>
    <t>Réparations</t>
  </si>
  <si>
    <t>Maintenance BF9</t>
  </si>
  <si>
    <t>Caldera, GLPI, NetSupport…</t>
  </si>
  <si>
    <t>IAAS BF9</t>
  </si>
  <si>
    <t>TeamViewer, Netsupport</t>
  </si>
  <si>
    <t>SAAS BF9 Adobe etc</t>
  </si>
  <si>
    <t>Adobe @Ville</t>
  </si>
  <si>
    <t>SAAS Adobe@Spinoza</t>
  </si>
  <si>
    <t>Adobe @Spinoza</t>
  </si>
  <si>
    <t>Service</t>
  </si>
  <si>
    <t>Service Complément</t>
  </si>
  <si>
    <t>c</t>
  </si>
  <si>
    <t>e</t>
  </si>
  <si>
    <t>LIBELLE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</si>
</sst>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\ &quot;€&quot;"/>
    <numFmt numFmtId="165" formatCode="#,##0.00\ &quot;€&quot;"/>
  </numFmts>
  <fonts count="4" x14ac:knownFonts="1">
    <font>
      <sz val="11"/>
      <color theme="1"/>
      <name val="Aptos Narrow"/>
      <family val="2"/>
      <scheme val="minor"/>
    </font>
    <font>
      <b/>
      <sz val="12"/>
      <color theme="0"/>
      <name val="Segoe U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ck">
        <color theme="0"/>
      </top>
      <bottom style="thin">
        <color theme="4" tint="0.39997558519241921"/>
      </bottom>
      <diagonal/>
    </border>
    <border>
      <left style="thin">
        <color theme="0"/>
      </left>
      <right/>
      <top style="thick">
        <color theme="0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0"/>
      </top>
      <bottom style="thin">
        <color theme="4" tint="0.39997558519241921"/>
      </bottom>
      <diagonal/>
    </border>
    <border>
      <left style="thin">
        <color theme="0"/>
      </left>
      <right/>
      <top style="thin">
        <color theme="0"/>
      </top>
      <bottom style="thin">
        <color theme="4" tint="0.39997558519241921"/>
      </bottom>
      <diagonal/>
    </border>
    <border>
      <left/>
      <right/>
      <top style="thin">
        <color theme="0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ck">
        <color theme="0"/>
      </top>
      <bottom style="thick">
        <color theme="0"/>
      </bottom>
      <diagonal/>
    </border>
    <border>
      <left style="thin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ck">
        <color theme="0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ck">
        <color theme="0"/>
      </bottom>
      <diagonal/>
    </border>
    <border>
      <left style="thin">
        <color theme="0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1">
    <xf numFmtId="0" fontId="0" fillId="0" borderId="0" xfId="0"/>
    <xf numFmtId="164" fontId="0" fillId="0" borderId="0" xfId="0" applyNumberFormat="1" applyAlignment="1">
      <alignment horizontal="center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8" fontId="2" fillId="0" borderId="0" xfId="0" applyNumberFormat="1" applyFont="1"/>
    <xf numFmtId="0" fontId="2" fillId="0" borderId="2" xfId="0" applyFont="1" applyBorder="1"/>
    <xf numFmtId="49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 vertical="center"/>
    </xf>
    <xf numFmtId="49" fontId="2" fillId="0" borderId="0" xfId="0" applyNumberFormat="1" applyFont="1"/>
    <xf numFmtId="0" fontId="2" fillId="0" borderId="0" xfId="0" quotePrefix="1" applyFont="1" applyAlignment="1">
      <alignment vertical="top" wrapText="1"/>
    </xf>
    <xf numFmtId="49" fontId="1" fillId="2" borderId="3" xfId="0" applyNumberFormat="1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left" wrapText="1"/>
    </xf>
    <xf numFmtId="49" fontId="1" fillId="2" borderId="4" xfId="0" applyNumberFormat="1" applyFont="1" applyFill="1" applyBorder="1" applyAlignment="1">
      <alignment horizont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165" fontId="1" fillId="2" borderId="4" xfId="0" applyNumberFormat="1" applyFont="1" applyFill="1" applyBorder="1" applyAlignment="1">
      <alignment horizontal="center" wrapText="1"/>
    </xf>
    <xf numFmtId="49" fontId="1" fillId="2" borderId="5" xfId="0" applyNumberFormat="1" applyFont="1" applyFill="1" applyBorder="1" applyAlignment="1">
      <alignment horizontal="center" wrapText="1"/>
    </xf>
    <xf numFmtId="49" fontId="2" fillId="3" borderId="6" xfId="0" applyNumberFormat="1" applyFont="1" applyFill="1" applyBorder="1"/>
    <xf numFmtId="0" fontId="2" fillId="3" borderId="7" xfId="0" applyFont="1" applyFill="1" applyBorder="1"/>
    <xf numFmtId="0" fontId="2" fillId="3" borderId="7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165" fontId="3" fillId="3" borderId="7" xfId="0" applyNumberFormat="1" applyFont="1" applyFill="1" applyBorder="1" applyAlignment="1">
      <alignment horizontal="center"/>
    </xf>
    <xf numFmtId="49" fontId="2" fillId="0" borderId="8" xfId="0" applyNumberFormat="1" applyFont="1" applyBorder="1"/>
    <xf numFmtId="0" fontId="2" fillId="0" borderId="9" xfId="0" applyFont="1" applyBorder="1"/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/>
    </xf>
    <xf numFmtId="49" fontId="2" fillId="0" borderId="6" xfId="0" applyNumberFormat="1" applyFont="1" applyBorder="1"/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/>
    </xf>
    <xf numFmtId="49" fontId="2" fillId="3" borderId="8" xfId="0" applyNumberFormat="1" applyFont="1" applyFill="1" applyBorder="1"/>
    <xf numFmtId="0" fontId="2" fillId="3" borderId="9" xfId="0" applyFont="1" applyFill="1" applyBorder="1"/>
    <xf numFmtId="0" fontId="2" fillId="3" borderId="9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165" fontId="3" fillId="3" borderId="9" xfId="0" applyNumberFormat="1" applyFont="1" applyFill="1" applyBorder="1" applyAlignment="1">
      <alignment horizontal="center"/>
    </xf>
    <xf numFmtId="0" fontId="2" fillId="0" borderId="10" xfId="0" applyFont="1" applyBorder="1"/>
    <xf numFmtId="0" fontId="2" fillId="3" borderId="10" xfId="0" applyFont="1" applyFill="1" applyBorder="1"/>
    <xf numFmtId="49" fontId="2" fillId="3" borderId="11" xfId="0" applyNumberFormat="1" applyFont="1" applyFill="1" applyBorder="1"/>
    <xf numFmtId="0" fontId="2" fillId="3" borderId="12" xfId="0" applyFont="1" applyFill="1" applyBorder="1"/>
    <xf numFmtId="0" fontId="2" fillId="3" borderId="12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 vertical="center"/>
    </xf>
    <xf numFmtId="165" fontId="3" fillId="3" borderId="12" xfId="0" applyNumberFormat="1" applyFont="1" applyFill="1" applyBorder="1" applyAlignment="1">
      <alignment horizontal="center"/>
    </xf>
    <xf numFmtId="49" fontId="1" fillId="2" borderId="13" xfId="0" applyNumberFormat="1" applyFont="1" applyFill="1" applyBorder="1" applyAlignment="1">
      <alignment horizontal="center" wrapText="1"/>
    </xf>
    <xf numFmtId="49" fontId="2" fillId="3" borderId="14" xfId="0" applyNumberFormat="1" applyFont="1" applyFill="1" applyBorder="1"/>
    <xf numFmtId="49" fontId="2" fillId="0" borderId="10" xfId="0" applyNumberFormat="1" applyFont="1" applyBorder="1"/>
    <xf numFmtId="49" fontId="2" fillId="0" borderId="14" xfId="0" applyNumberFormat="1" applyFont="1" applyBorder="1"/>
    <xf numFmtId="49" fontId="2" fillId="3" borderId="10" xfId="0" applyNumberFormat="1" applyFont="1" applyFill="1" applyBorder="1"/>
    <xf numFmtId="49" fontId="2" fillId="3" borderId="15" xfId="0" applyNumberFormat="1" applyFont="1" applyFill="1" applyBorder="1"/>
    <xf numFmtId="49" fontId="2" fillId="0" borderId="15" xfId="0" applyNumberFormat="1" applyFont="1" applyBorder="1"/>
    <xf numFmtId="49" fontId="2" fillId="3" borderId="16" xfId="0" applyNumberFormat="1" applyFont="1" applyFill="1" applyBorder="1"/>
    <xf numFmtId="0" fontId="2" fillId="0" borderId="17" xfId="0" applyFont="1" applyBorder="1"/>
    <xf numFmtId="0" fontId="2" fillId="3" borderId="17" xfId="0" applyFont="1" applyFill="1" applyBorder="1"/>
  </cellXfs>
  <cellStyles count="1">
    <cellStyle name="Normal" xfId="0" builtinId="0"/>
  </cellStyles>
  <dxfs count="5"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FAF8-4A63-4F9C-8AE1-1C3581B6B877}">
  <dimension ref="A1:I107"/>
  <sheetViews>
    <sheetView tabSelected="1" workbookViewId="0">
      <selection activeCell="J1" sqref="J1:M1048576"/>
    </sheetView>
  </sheetViews>
  <sheetFormatPr baseColWidth="10" defaultRowHeight="14.4" x14ac:dyDescent="0.3"/>
  <cols>
    <col min="1" max="2" width="7.77734375" customWidth="1"/>
    <col min="3" max="3" width="31" customWidth="1"/>
    <col min="4" max="4" width="29.88671875" customWidth="1"/>
    <col min="5" max="5" width="11.6640625" customWidth="1"/>
    <col min="6" max="6" width="9.44140625" customWidth="1"/>
    <col min="7" max="7" width="19" customWidth="1"/>
    <col min="8" max="8" width="16.88671875" style="1" customWidth="1"/>
    <col min="9" max="9" width="14.5546875" bestFit="1" customWidth="1"/>
  </cols>
  <sheetData>
    <row r="1" spans="1:9" ht="76.8" x14ac:dyDescent="0.45">
      <c r="A1" s="18" t="s">
        <v>153</v>
      </c>
      <c r="B1" s="51" t="s">
        <v>154</v>
      </c>
      <c r="C1" s="19" t="s">
        <v>157</v>
      </c>
      <c r="D1" s="20" t="s">
        <v>0</v>
      </c>
      <c r="E1" s="20" t="s">
        <v>1</v>
      </c>
      <c r="F1" s="21" t="s">
        <v>65</v>
      </c>
      <c r="G1" s="22" t="s">
        <v>2</v>
      </c>
      <c r="H1" s="23" t="s">
        <v>3</v>
      </c>
      <c r="I1" s="23" t="s">
        <v>4</v>
      </c>
    </row>
    <row r="2" spans="1:9" ht="19.2" x14ac:dyDescent="0.45">
      <c r="A2" s="2" t="s">
        <v>13</v>
      </c>
      <c r="B2" s="2" t="s">
        <v>156</v>
      </c>
      <c r="C2" s="3" t="s">
        <v>5</v>
      </c>
      <c r="D2" s="3" t="s">
        <v>6</v>
      </c>
      <c r="E2" s="3">
        <v>213</v>
      </c>
      <c r="F2" s="4">
        <v>21831</v>
      </c>
      <c r="G2" s="5">
        <v>17500</v>
      </c>
      <c r="H2" s="3" t="s">
        <v>7</v>
      </c>
      <c r="I2" s="12"/>
    </row>
    <row r="3" spans="1:9" ht="19.2" x14ac:dyDescent="0.45">
      <c r="A3" s="2" t="s">
        <v>13</v>
      </c>
      <c r="B3" s="6" t="s">
        <v>156</v>
      </c>
      <c r="C3" s="7" t="s">
        <v>8</v>
      </c>
      <c r="D3" s="7" t="s">
        <v>6</v>
      </c>
      <c r="E3" s="7">
        <v>213</v>
      </c>
      <c r="F3" s="8">
        <v>21831</v>
      </c>
      <c r="G3" s="9">
        <v>10000</v>
      </c>
      <c r="H3" s="7" t="s">
        <v>7</v>
      </c>
      <c r="I3" s="12"/>
    </row>
    <row r="4" spans="1:9" ht="19.2" x14ac:dyDescent="0.45">
      <c r="A4" s="2" t="s">
        <v>13</v>
      </c>
      <c r="B4" s="6" t="s">
        <v>156</v>
      </c>
      <c r="C4" s="7" t="s">
        <v>9</v>
      </c>
      <c r="D4" s="7" t="s">
        <v>6</v>
      </c>
      <c r="E4" s="7">
        <v>213</v>
      </c>
      <c r="F4" s="8">
        <v>21831</v>
      </c>
      <c r="G4" s="9">
        <v>10000</v>
      </c>
      <c r="H4" s="7" t="s">
        <v>7</v>
      </c>
      <c r="I4" s="12"/>
    </row>
    <row r="5" spans="1:9" ht="19.2" x14ac:dyDescent="0.45">
      <c r="A5" s="6" t="s">
        <v>10</v>
      </c>
      <c r="B5" s="6"/>
      <c r="C5" s="7" t="s">
        <v>11</v>
      </c>
      <c r="D5" s="7" t="s">
        <v>6</v>
      </c>
      <c r="E5" s="7">
        <v>213</v>
      </c>
      <c r="F5" s="8">
        <v>21533</v>
      </c>
      <c r="G5" s="9">
        <v>3500</v>
      </c>
      <c r="H5" s="3" t="s">
        <v>7</v>
      </c>
      <c r="I5" s="12"/>
    </row>
    <row r="6" spans="1:9" ht="19.2" x14ac:dyDescent="0.45">
      <c r="A6" s="6" t="s">
        <v>13</v>
      </c>
      <c r="B6" s="6" t="s">
        <v>155</v>
      </c>
      <c r="C6" s="7" t="s">
        <v>12</v>
      </c>
      <c r="D6" s="7" t="s">
        <v>6</v>
      </c>
      <c r="E6" s="7">
        <v>20</v>
      </c>
      <c r="F6" s="8">
        <v>2051</v>
      </c>
      <c r="G6" s="9">
        <v>0</v>
      </c>
      <c r="H6" s="7" t="s">
        <v>7</v>
      </c>
      <c r="I6" s="12"/>
    </row>
    <row r="7" spans="1:9" ht="19.2" x14ac:dyDescent="0.45">
      <c r="A7" s="6" t="s">
        <v>13</v>
      </c>
      <c r="B7" s="6"/>
      <c r="C7" s="7" t="s">
        <v>14</v>
      </c>
      <c r="D7" s="7" t="s">
        <v>6</v>
      </c>
      <c r="E7" s="7">
        <v>20</v>
      </c>
      <c r="F7" s="8">
        <v>21848</v>
      </c>
      <c r="G7" s="10">
        <v>20000</v>
      </c>
      <c r="H7" s="7" t="s">
        <v>7</v>
      </c>
      <c r="I7" s="12"/>
    </row>
    <row r="8" spans="1:9" ht="19.2" x14ac:dyDescent="0.45">
      <c r="A8" s="6" t="s">
        <v>13</v>
      </c>
      <c r="B8" s="6"/>
      <c r="C8" s="7" t="s">
        <v>15</v>
      </c>
      <c r="D8" s="7" t="s">
        <v>6</v>
      </c>
      <c r="E8" s="7">
        <v>20</v>
      </c>
      <c r="F8" s="8">
        <v>2051</v>
      </c>
      <c r="G8" s="9">
        <v>300000</v>
      </c>
      <c r="H8" s="3" t="s">
        <v>7</v>
      </c>
      <c r="I8" s="12"/>
    </row>
    <row r="9" spans="1:9" ht="19.2" x14ac:dyDescent="0.45">
      <c r="A9" s="6" t="s">
        <v>13</v>
      </c>
      <c r="B9" s="6"/>
      <c r="C9" s="7" t="s">
        <v>16</v>
      </c>
      <c r="D9" s="7" t="s">
        <v>6</v>
      </c>
      <c r="E9" s="7">
        <v>20</v>
      </c>
      <c r="F9" s="8">
        <v>2051</v>
      </c>
      <c r="G9" s="9">
        <v>7800</v>
      </c>
      <c r="H9" s="7" t="s">
        <v>7</v>
      </c>
      <c r="I9" s="12"/>
    </row>
    <row r="10" spans="1:9" ht="19.2" x14ac:dyDescent="0.45">
      <c r="A10" s="6" t="s">
        <v>13</v>
      </c>
      <c r="B10" s="6" t="s">
        <v>155</v>
      </c>
      <c r="C10" s="7" t="s">
        <v>17</v>
      </c>
      <c r="D10" s="7" t="s">
        <v>6</v>
      </c>
      <c r="E10" s="7">
        <v>20</v>
      </c>
      <c r="F10" s="8">
        <v>2051</v>
      </c>
      <c r="G10" s="9">
        <v>30000</v>
      </c>
      <c r="H10" s="7" t="s">
        <v>7</v>
      </c>
      <c r="I10" s="7" t="s">
        <v>18</v>
      </c>
    </row>
    <row r="11" spans="1:9" ht="19.2" x14ac:dyDescent="0.45">
      <c r="A11" s="6" t="s">
        <v>13</v>
      </c>
      <c r="B11" s="6" t="s">
        <v>155</v>
      </c>
      <c r="C11" s="7" t="s">
        <v>19</v>
      </c>
      <c r="D11" s="7" t="s">
        <v>6</v>
      </c>
      <c r="E11" s="7">
        <v>20</v>
      </c>
      <c r="F11" s="8">
        <v>2051</v>
      </c>
      <c r="G11" s="9">
        <v>31200</v>
      </c>
      <c r="H11" s="3" t="s">
        <v>7</v>
      </c>
      <c r="I11" s="7" t="s">
        <v>18</v>
      </c>
    </row>
    <row r="12" spans="1:9" ht="19.2" x14ac:dyDescent="0.45">
      <c r="A12" s="6" t="s">
        <v>13</v>
      </c>
      <c r="B12" s="6" t="s">
        <v>155</v>
      </c>
      <c r="C12" s="7" t="s">
        <v>20</v>
      </c>
      <c r="D12" s="7" t="s">
        <v>6</v>
      </c>
      <c r="E12" s="7">
        <v>20</v>
      </c>
      <c r="F12" s="8">
        <v>2051</v>
      </c>
      <c r="G12" s="9">
        <v>0</v>
      </c>
      <c r="H12" s="7" t="s">
        <v>7</v>
      </c>
      <c r="I12" s="7" t="s">
        <v>21</v>
      </c>
    </row>
    <row r="13" spans="1:9" ht="19.2" x14ac:dyDescent="0.45">
      <c r="A13" s="6" t="s">
        <v>13</v>
      </c>
      <c r="B13" s="6"/>
      <c r="C13" s="7" t="s">
        <v>22</v>
      </c>
      <c r="D13" s="7" t="s">
        <v>23</v>
      </c>
      <c r="E13" s="7">
        <v>20</v>
      </c>
      <c r="F13" s="8">
        <v>21838</v>
      </c>
      <c r="G13" s="10">
        <v>33000</v>
      </c>
      <c r="H13" s="7" t="s">
        <v>7</v>
      </c>
      <c r="I13" s="7"/>
    </row>
    <row r="14" spans="1:9" ht="19.2" x14ac:dyDescent="0.45">
      <c r="A14" s="6" t="s">
        <v>10</v>
      </c>
      <c r="B14" s="6"/>
      <c r="C14" s="7" t="s">
        <v>24</v>
      </c>
      <c r="D14" s="7" t="s">
        <v>6</v>
      </c>
      <c r="E14" s="7">
        <v>20</v>
      </c>
      <c r="F14" s="8">
        <v>2051</v>
      </c>
      <c r="G14" s="10">
        <v>5000</v>
      </c>
      <c r="H14" s="3" t="s">
        <v>7</v>
      </c>
      <c r="I14" s="7"/>
    </row>
    <row r="15" spans="1:9" ht="19.2" x14ac:dyDescent="0.45">
      <c r="A15" s="6" t="s">
        <v>10</v>
      </c>
      <c r="B15" s="6"/>
      <c r="C15" s="7" t="s">
        <v>25</v>
      </c>
      <c r="D15" s="7" t="s">
        <v>6</v>
      </c>
      <c r="E15" s="7">
        <v>20</v>
      </c>
      <c r="F15" s="8">
        <v>21533</v>
      </c>
      <c r="G15" s="10">
        <v>70000</v>
      </c>
      <c r="H15" s="7" t="s">
        <v>7</v>
      </c>
      <c r="I15" s="7"/>
    </row>
    <row r="16" spans="1:9" ht="19.2" x14ac:dyDescent="0.45">
      <c r="A16" s="6" t="s">
        <v>10</v>
      </c>
      <c r="B16" s="6"/>
      <c r="C16" s="7" t="s">
        <v>26</v>
      </c>
      <c r="D16" s="7" t="s">
        <v>6</v>
      </c>
      <c r="E16" s="7">
        <v>20</v>
      </c>
      <c r="F16" s="8">
        <v>21838</v>
      </c>
      <c r="G16" s="10">
        <v>15000</v>
      </c>
      <c r="H16" s="7" t="s">
        <v>7</v>
      </c>
      <c r="I16" s="7"/>
    </row>
    <row r="17" spans="1:9" ht="19.2" x14ac:dyDescent="0.45">
      <c r="A17" s="6" t="s">
        <v>10</v>
      </c>
      <c r="B17" s="6"/>
      <c r="C17" s="7" t="s">
        <v>27</v>
      </c>
      <c r="D17" s="7" t="s">
        <v>6</v>
      </c>
      <c r="E17" s="7">
        <v>20</v>
      </c>
      <c r="F17" s="8">
        <v>21838</v>
      </c>
      <c r="G17" s="10">
        <v>15000</v>
      </c>
      <c r="H17" s="3" t="s">
        <v>7</v>
      </c>
      <c r="I17" s="7"/>
    </row>
    <row r="18" spans="1:9" ht="19.2" x14ac:dyDescent="0.45">
      <c r="A18" s="6" t="s">
        <v>10</v>
      </c>
      <c r="B18" s="6"/>
      <c r="C18" s="7" t="s">
        <v>28</v>
      </c>
      <c r="D18" s="7" t="s">
        <v>6</v>
      </c>
      <c r="E18" s="7">
        <v>20</v>
      </c>
      <c r="F18" s="8">
        <v>2185</v>
      </c>
      <c r="G18" s="10">
        <v>15000</v>
      </c>
      <c r="H18" s="7" t="s">
        <v>7</v>
      </c>
      <c r="I18" s="7"/>
    </row>
    <row r="19" spans="1:9" ht="19.2" x14ac:dyDescent="0.45">
      <c r="A19" s="13" t="s">
        <v>10</v>
      </c>
      <c r="B19" s="13"/>
      <c r="C19" s="14" t="s">
        <v>29</v>
      </c>
      <c r="D19" s="14" t="s">
        <v>23</v>
      </c>
      <c r="E19" s="14">
        <v>20</v>
      </c>
      <c r="F19" s="15">
        <v>21838</v>
      </c>
      <c r="G19" s="9">
        <f>130000-SUM(G20:G23)</f>
        <v>0</v>
      </c>
      <c r="H19" s="7" t="s">
        <v>7</v>
      </c>
      <c r="I19" s="14"/>
    </row>
    <row r="20" spans="1:9" ht="19.2" x14ac:dyDescent="0.45">
      <c r="A20" s="6" t="s">
        <v>10</v>
      </c>
      <c r="B20" s="16"/>
      <c r="C20" s="7" t="s">
        <v>30</v>
      </c>
      <c r="D20" s="7" t="s">
        <v>23</v>
      </c>
      <c r="E20" s="7">
        <v>20</v>
      </c>
      <c r="F20" s="8">
        <v>21838</v>
      </c>
      <c r="G20" s="10">
        <v>50000</v>
      </c>
      <c r="H20" s="3" t="s">
        <v>7</v>
      </c>
      <c r="I20" s="7"/>
    </row>
    <row r="21" spans="1:9" ht="19.2" x14ac:dyDescent="0.45">
      <c r="A21" s="6" t="s">
        <v>10</v>
      </c>
      <c r="B21" s="16"/>
      <c r="C21" s="7" t="s">
        <v>31</v>
      </c>
      <c r="D21" s="7" t="s">
        <v>23</v>
      </c>
      <c r="E21" s="7">
        <v>213</v>
      </c>
      <c r="F21" s="8">
        <v>2185</v>
      </c>
      <c r="G21" s="10">
        <v>50000</v>
      </c>
      <c r="H21" s="7" t="s">
        <v>7</v>
      </c>
      <c r="I21" s="7"/>
    </row>
    <row r="22" spans="1:9" ht="19.2" x14ac:dyDescent="0.45">
      <c r="A22" s="16" t="s">
        <v>10</v>
      </c>
      <c r="B22" s="16"/>
      <c r="C22" s="7" t="s">
        <v>32</v>
      </c>
      <c r="D22" s="7" t="s">
        <v>23</v>
      </c>
      <c r="E22" s="7">
        <v>20</v>
      </c>
      <c r="F22" s="8">
        <v>21838</v>
      </c>
      <c r="G22" s="10">
        <v>30000</v>
      </c>
      <c r="H22" s="7" t="s">
        <v>7</v>
      </c>
      <c r="I22" s="7"/>
    </row>
    <row r="23" spans="1:9" ht="19.2" x14ac:dyDescent="0.45">
      <c r="A23" s="16" t="s">
        <v>10</v>
      </c>
      <c r="B23" s="16"/>
      <c r="C23" s="7" t="s">
        <v>33</v>
      </c>
      <c r="D23" s="7" t="s">
        <v>23</v>
      </c>
      <c r="E23" s="7">
        <v>20</v>
      </c>
      <c r="F23" s="8"/>
      <c r="G23" s="10">
        <v>0</v>
      </c>
      <c r="H23" s="3" t="s">
        <v>7</v>
      </c>
      <c r="I23" s="7"/>
    </row>
    <row r="24" spans="1:9" ht="19.2" x14ac:dyDescent="0.45">
      <c r="A24" s="6" t="s">
        <v>34</v>
      </c>
      <c r="B24" s="6"/>
      <c r="C24" s="7" t="s">
        <v>35</v>
      </c>
      <c r="D24" s="7" t="s">
        <v>6</v>
      </c>
      <c r="E24" s="7">
        <v>20</v>
      </c>
      <c r="F24" s="8">
        <v>21838</v>
      </c>
      <c r="G24" s="10">
        <v>30000</v>
      </c>
      <c r="H24" s="7" t="s">
        <v>7</v>
      </c>
      <c r="I24" s="7"/>
    </row>
    <row r="25" spans="1:9" ht="19.2" x14ac:dyDescent="0.45">
      <c r="A25" s="6" t="s">
        <v>34</v>
      </c>
      <c r="B25" s="6"/>
      <c r="C25" s="7" t="s">
        <v>36</v>
      </c>
      <c r="D25" s="7" t="s">
        <v>6</v>
      </c>
      <c r="E25" s="7">
        <v>20</v>
      </c>
      <c r="F25" s="8">
        <v>2051</v>
      </c>
      <c r="G25" s="10">
        <v>30000</v>
      </c>
      <c r="H25" s="7" t="s">
        <v>7</v>
      </c>
      <c r="I25" s="7"/>
    </row>
    <row r="26" spans="1:9" ht="19.2" x14ac:dyDescent="0.45">
      <c r="A26" s="6" t="s">
        <v>34</v>
      </c>
      <c r="B26" s="6"/>
      <c r="C26" s="7" t="s">
        <v>37</v>
      </c>
      <c r="D26" s="7" t="s">
        <v>6</v>
      </c>
      <c r="E26" s="7">
        <v>20</v>
      </c>
      <c r="F26" s="8">
        <v>2051</v>
      </c>
      <c r="G26" s="10">
        <v>0</v>
      </c>
      <c r="H26" s="7" t="s">
        <v>7</v>
      </c>
      <c r="I26" s="7"/>
    </row>
    <row r="27" spans="1:9" ht="19.2" x14ac:dyDescent="0.45">
      <c r="A27" s="6" t="s">
        <v>34</v>
      </c>
      <c r="B27" s="6"/>
      <c r="C27" s="7" t="s">
        <v>38</v>
      </c>
      <c r="D27" s="7" t="s">
        <v>6</v>
      </c>
      <c r="E27" s="7">
        <v>20</v>
      </c>
      <c r="F27" s="8">
        <v>21838</v>
      </c>
      <c r="G27" s="10">
        <v>150000</v>
      </c>
      <c r="H27" s="7" t="s">
        <v>7</v>
      </c>
      <c r="I27" s="7"/>
    </row>
    <row r="28" spans="1:9" ht="19.2" x14ac:dyDescent="0.45">
      <c r="A28" s="6" t="s">
        <v>34</v>
      </c>
      <c r="B28" s="6"/>
      <c r="C28" s="7" t="s">
        <v>39</v>
      </c>
      <c r="D28" s="7" t="s">
        <v>6</v>
      </c>
      <c r="E28" s="7">
        <v>20</v>
      </c>
      <c r="F28" s="8">
        <v>21838</v>
      </c>
      <c r="G28" s="10">
        <v>5000</v>
      </c>
      <c r="H28" s="7" t="s">
        <v>7</v>
      </c>
      <c r="I28" s="7"/>
    </row>
    <row r="29" spans="1:9" ht="19.2" x14ac:dyDescent="0.45">
      <c r="A29" s="6" t="s">
        <v>34</v>
      </c>
      <c r="B29" s="6"/>
      <c r="C29" s="7" t="s">
        <v>40</v>
      </c>
      <c r="D29" s="7" t="s">
        <v>6</v>
      </c>
      <c r="E29" s="7">
        <v>20</v>
      </c>
      <c r="F29" s="8">
        <v>21838</v>
      </c>
      <c r="G29" s="10">
        <v>5000</v>
      </c>
      <c r="H29" s="7" t="s">
        <v>7</v>
      </c>
      <c r="I29" s="7"/>
    </row>
    <row r="30" spans="1:9" ht="19.2" x14ac:dyDescent="0.45">
      <c r="A30" s="6" t="s">
        <v>34</v>
      </c>
      <c r="B30" s="6"/>
      <c r="C30" s="7" t="s">
        <v>41</v>
      </c>
      <c r="D30" s="7" t="s">
        <v>6</v>
      </c>
      <c r="E30" s="7">
        <v>20</v>
      </c>
      <c r="F30" s="8">
        <v>2185</v>
      </c>
      <c r="G30" s="10">
        <v>20000</v>
      </c>
      <c r="H30" s="7" t="s">
        <v>7</v>
      </c>
      <c r="I30" s="7"/>
    </row>
    <row r="31" spans="1:9" ht="19.2" x14ac:dyDescent="0.45">
      <c r="A31" s="6" t="s">
        <v>34</v>
      </c>
      <c r="B31" s="6"/>
      <c r="C31" s="7" t="s">
        <v>42</v>
      </c>
      <c r="D31" s="7" t="s">
        <v>23</v>
      </c>
      <c r="E31" s="7">
        <v>20</v>
      </c>
      <c r="F31" s="8">
        <v>21838</v>
      </c>
      <c r="G31" s="10">
        <v>50000</v>
      </c>
      <c r="H31" s="7" t="s">
        <v>7</v>
      </c>
      <c r="I31" s="7" t="s">
        <v>43</v>
      </c>
    </row>
    <row r="32" spans="1:9" ht="19.2" x14ac:dyDescent="0.45">
      <c r="A32" s="6" t="s">
        <v>34</v>
      </c>
      <c r="B32" s="6"/>
      <c r="C32" s="7" t="s">
        <v>44</v>
      </c>
      <c r="D32" s="7" t="s">
        <v>23</v>
      </c>
      <c r="E32" s="7">
        <v>20</v>
      </c>
      <c r="F32" s="8">
        <v>21838</v>
      </c>
      <c r="G32" s="10">
        <v>50000</v>
      </c>
      <c r="H32" s="7" t="s">
        <v>7</v>
      </c>
      <c r="I32" s="7"/>
    </row>
    <row r="33" spans="1:9" ht="19.2" x14ac:dyDescent="0.45">
      <c r="A33" s="6" t="s">
        <v>45</v>
      </c>
      <c r="B33" s="6"/>
      <c r="C33" s="7" t="s">
        <v>46</v>
      </c>
      <c r="D33" s="7" t="s">
        <v>23</v>
      </c>
      <c r="E33" s="7"/>
      <c r="F33" s="8">
        <v>2051</v>
      </c>
      <c r="G33" s="10">
        <v>0</v>
      </c>
      <c r="H33" s="7" t="s">
        <v>7</v>
      </c>
      <c r="I33" s="7"/>
    </row>
    <row r="34" spans="1:9" ht="19.2" x14ac:dyDescent="0.45">
      <c r="A34" s="6" t="s">
        <v>45</v>
      </c>
      <c r="B34" s="6"/>
      <c r="C34" s="7" t="s">
        <v>47</v>
      </c>
      <c r="D34" s="11" t="s">
        <v>23</v>
      </c>
      <c r="E34" s="7"/>
      <c r="F34" s="8">
        <v>2051</v>
      </c>
      <c r="G34" s="10">
        <v>35000</v>
      </c>
      <c r="H34" s="7" t="s">
        <v>7</v>
      </c>
      <c r="I34" s="7"/>
    </row>
    <row r="35" spans="1:9" ht="19.2" x14ac:dyDescent="0.45">
      <c r="A35" s="16" t="s">
        <v>45</v>
      </c>
      <c r="B35" s="16"/>
      <c r="C35" s="7" t="s">
        <v>48</v>
      </c>
      <c r="D35" s="11" t="s">
        <v>23</v>
      </c>
      <c r="E35" s="7"/>
      <c r="F35" s="8">
        <v>2051</v>
      </c>
      <c r="G35" s="10">
        <v>40000</v>
      </c>
      <c r="H35" s="7" t="s">
        <v>7</v>
      </c>
      <c r="I35" s="7" t="s">
        <v>21</v>
      </c>
    </row>
    <row r="36" spans="1:9" ht="19.2" x14ac:dyDescent="0.45">
      <c r="A36" s="6" t="s">
        <v>45</v>
      </c>
      <c r="B36" s="6"/>
      <c r="C36" s="7" t="s">
        <v>49</v>
      </c>
      <c r="D36" s="11" t="s">
        <v>23</v>
      </c>
      <c r="E36" s="7"/>
      <c r="F36" s="8">
        <v>2051</v>
      </c>
      <c r="G36" s="10">
        <v>20000</v>
      </c>
      <c r="H36" s="7" t="s">
        <v>7</v>
      </c>
      <c r="I36" s="7" t="s">
        <v>50</v>
      </c>
    </row>
    <row r="37" spans="1:9" ht="19.2" x14ac:dyDescent="0.45">
      <c r="A37" s="6" t="s">
        <v>45</v>
      </c>
      <c r="B37" s="6"/>
      <c r="C37" s="7" t="s">
        <v>51</v>
      </c>
      <c r="D37" s="11" t="s">
        <v>23</v>
      </c>
      <c r="E37" s="7"/>
      <c r="F37" s="8">
        <v>2051</v>
      </c>
      <c r="G37" s="10">
        <v>30000</v>
      </c>
      <c r="H37" s="7" t="s">
        <v>7</v>
      </c>
      <c r="I37" s="7" t="s">
        <v>52</v>
      </c>
    </row>
    <row r="38" spans="1:9" ht="19.2" x14ac:dyDescent="0.45">
      <c r="A38" s="16" t="s">
        <v>45</v>
      </c>
      <c r="B38" s="16"/>
      <c r="C38" s="7" t="s">
        <v>53</v>
      </c>
      <c r="D38" s="11" t="s">
        <v>23</v>
      </c>
      <c r="E38" s="7"/>
      <c r="F38" s="8">
        <v>2051</v>
      </c>
      <c r="G38" s="10">
        <v>15000</v>
      </c>
      <c r="H38" s="7" t="s">
        <v>7</v>
      </c>
      <c r="I38" s="7"/>
    </row>
    <row r="39" spans="1:9" ht="19.2" x14ac:dyDescent="0.45">
      <c r="A39" s="6" t="s">
        <v>45</v>
      </c>
      <c r="B39" s="6"/>
      <c r="C39" s="7" t="s">
        <v>54</v>
      </c>
      <c r="D39" s="11" t="s">
        <v>23</v>
      </c>
      <c r="E39" s="7"/>
      <c r="F39" s="8">
        <v>2051</v>
      </c>
      <c r="G39" s="10">
        <v>40000</v>
      </c>
      <c r="H39" s="7" t="s">
        <v>7</v>
      </c>
      <c r="I39" s="7"/>
    </row>
    <row r="40" spans="1:9" ht="19.2" x14ac:dyDescent="0.45">
      <c r="A40" s="16" t="s">
        <v>45</v>
      </c>
      <c r="B40" s="16"/>
      <c r="C40" s="7" t="s">
        <v>55</v>
      </c>
      <c r="D40" s="11" t="s">
        <v>23</v>
      </c>
      <c r="E40" s="7"/>
      <c r="F40" s="8">
        <v>2051</v>
      </c>
      <c r="G40" s="10">
        <v>15000</v>
      </c>
      <c r="H40" s="7" t="s">
        <v>7</v>
      </c>
      <c r="I40" s="17"/>
    </row>
    <row r="41" spans="1:9" ht="19.2" x14ac:dyDescent="0.45">
      <c r="A41" s="16" t="s">
        <v>45</v>
      </c>
      <c r="B41" s="16"/>
      <c r="C41" s="7" t="s">
        <v>56</v>
      </c>
      <c r="D41" s="11" t="s">
        <v>23</v>
      </c>
      <c r="E41" s="7"/>
      <c r="F41" s="8">
        <v>2051</v>
      </c>
      <c r="G41" s="10">
        <v>20000</v>
      </c>
      <c r="H41" s="7" t="s">
        <v>7</v>
      </c>
      <c r="I41" s="7"/>
    </row>
    <row r="42" spans="1:9" ht="19.2" x14ac:dyDescent="0.45">
      <c r="A42" s="6" t="s">
        <v>45</v>
      </c>
      <c r="B42" s="6"/>
      <c r="C42" s="7" t="s">
        <v>57</v>
      </c>
      <c r="D42" s="11" t="s">
        <v>23</v>
      </c>
      <c r="E42" s="7"/>
      <c r="F42" s="8">
        <v>2051</v>
      </c>
      <c r="G42" s="10">
        <v>20000</v>
      </c>
      <c r="H42" s="7" t="s">
        <v>7</v>
      </c>
      <c r="I42" s="7"/>
    </row>
    <row r="43" spans="1:9" ht="19.2" x14ac:dyDescent="0.45">
      <c r="A43" s="16" t="s">
        <v>45</v>
      </c>
      <c r="B43" s="16"/>
      <c r="C43" s="7" t="s">
        <v>58</v>
      </c>
      <c r="D43" s="11" t="s">
        <v>23</v>
      </c>
      <c r="E43" s="7"/>
      <c r="F43" s="8">
        <v>21838</v>
      </c>
      <c r="G43" s="10">
        <v>16000</v>
      </c>
      <c r="H43" s="7" t="s">
        <v>7</v>
      </c>
      <c r="I43" s="7"/>
    </row>
    <row r="44" spans="1:9" ht="19.2" x14ac:dyDescent="0.45">
      <c r="A44" s="16" t="s">
        <v>45</v>
      </c>
      <c r="B44" s="16"/>
      <c r="C44" s="7" t="s">
        <v>59</v>
      </c>
      <c r="D44" s="11" t="s">
        <v>23</v>
      </c>
      <c r="E44" s="7"/>
      <c r="F44" s="8">
        <v>2051</v>
      </c>
      <c r="G44" s="10">
        <v>15000</v>
      </c>
      <c r="H44" s="7" t="s">
        <v>7</v>
      </c>
      <c r="I44" s="7"/>
    </row>
    <row r="45" spans="1:9" ht="19.2" x14ac:dyDescent="0.45">
      <c r="A45" s="16" t="s">
        <v>45</v>
      </c>
      <c r="B45" s="16"/>
      <c r="C45" s="7" t="s">
        <v>60</v>
      </c>
      <c r="D45" s="11" t="s">
        <v>23</v>
      </c>
      <c r="E45" s="7"/>
      <c r="F45" s="8">
        <v>2051</v>
      </c>
      <c r="G45" s="10">
        <v>24000</v>
      </c>
      <c r="H45" s="7" t="s">
        <v>7</v>
      </c>
      <c r="I45" s="7" t="s">
        <v>61</v>
      </c>
    </row>
    <row r="46" spans="1:9" ht="19.2" x14ac:dyDescent="0.45">
      <c r="A46" s="16" t="s">
        <v>45</v>
      </c>
      <c r="B46" s="16"/>
      <c r="C46" s="7" t="s">
        <v>62</v>
      </c>
      <c r="D46" s="11" t="s">
        <v>23</v>
      </c>
      <c r="E46" s="7"/>
      <c r="F46" s="8">
        <v>2051</v>
      </c>
      <c r="G46" s="10">
        <v>18000</v>
      </c>
      <c r="H46" s="7" t="s">
        <v>7</v>
      </c>
      <c r="I46" s="7"/>
    </row>
    <row r="47" spans="1:9" ht="19.8" thickBot="1" x14ac:dyDescent="0.5">
      <c r="A47" s="16" t="s">
        <v>45</v>
      </c>
      <c r="B47" s="16"/>
      <c r="C47" s="7" t="s">
        <v>63</v>
      </c>
      <c r="D47" s="11" t="s">
        <v>23</v>
      </c>
      <c r="E47" s="7"/>
      <c r="F47" s="8">
        <v>2051</v>
      </c>
      <c r="G47" s="10">
        <v>7000</v>
      </c>
      <c r="H47" s="7" t="s">
        <v>7</v>
      </c>
      <c r="I47" s="7" t="s">
        <v>64</v>
      </c>
    </row>
    <row r="48" spans="1:9" ht="19.8" thickTop="1" x14ac:dyDescent="0.45">
      <c r="A48" s="24" t="s">
        <v>13</v>
      </c>
      <c r="B48" s="52"/>
      <c r="C48" s="25" t="s">
        <v>66</v>
      </c>
      <c r="D48" s="25"/>
      <c r="E48" s="26">
        <v>20</v>
      </c>
      <c r="F48" s="27">
        <v>6262</v>
      </c>
      <c r="G48" s="28">
        <v>184000</v>
      </c>
      <c r="H48" s="7" t="s">
        <v>7</v>
      </c>
      <c r="I48" s="25"/>
    </row>
    <row r="49" spans="1:9" ht="19.8" thickBot="1" x14ac:dyDescent="0.5">
      <c r="A49" s="29" t="s">
        <v>13</v>
      </c>
      <c r="B49" s="53"/>
      <c r="C49" s="30" t="s">
        <v>67</v>
      </c>
      <c r="D49" s="30"/>
      <c r="E49" s="31">
        <v>213</v>
      </c>
      <c r="F49" s="32">
        <v>6262</v>
      </c>
      <c r="G49" s="33">
        <v>17300</v>
      </c>
      <c r="H49" s="7" t="s">
        <v>7</v>
      </c>
      <c r="I49" s="30"/>
    </row>
    <row r="50" spans="1:9" ht="19.8" thickTop="1" x14ac:dyDescent="0.45">
      <c r="A50" s="24" t="s">
        <v>13</v>
      </c>
      <c r="B50" s="52"/>
      <c r="C50" s="25" t="s">
        <v>68</v>
      </c>
      <c r="D50" s="25"/>
      <c r="E50" s="26">
        <v>321</v>
      </c>
      <c r="F50" s="27">
        <v>6262</v>
      </c>
      <c r="G50" s="28">
        <v>4500</v>
      </c>
      <c r="H50" s="7" t="s">
        <v>7</v>
      </c>
      <c r="I50" s="25"/>
    </row>
    <row r="51" spans="1:9" ht="19.8" thickBot="1" x14ac:dyDescent="0.5">
      <c r="A51" s="29" t="s">
        <v>13</v>
      </c>
      <c r="B51" s="53"/>
      <c r="C51" s="30" t="s">
        <v>69</v>
      </c>
      <c r="D51" s="30"/>
      <c r="E51" s="31">
        <v>332</v>
      </c>
      <c r="F51" s="32">
        <v>6262</v>
      </c>
      <c r="G51" s="33">
        <v>1100</v>
      </c>
      <c r="H51" s="7" t="s">
        <v>7</v>
      </c>
      <c r="I51" s="30"/>
    </row>
    <row r="52" spans="1:9" ht="20.399999999999999" thickTop="1" thickBot="1" x14ac:dyDescent="0.5">
      <c r="A52" s="24" t="s">
        <v>13</v>
      </c>
      <c r="B52" s="52"/>
      <c r="C52" s="25" t="s">
        <v>70</v>
      </c>
      <c r="D52" s="25"/>
      <c r="E52" s="26">
        <v>4221</v>
      </c>
      <c r="F52" s="27">
        <v>6262</v>
      </c>
      <c r="G52" s="28">
        <v>6100</v>
      </c>
      <c r="H52" s="7" t="s">
        <v>7</v>
      </c>
      <c r="I52" s="25"/>
    </row>
    <row r="53" spans="1:9" ht="19.8" thickTop="1" x14ac:dyDescent="0.45">
      <c r="A53" s="34" t="s">
        <v>13</v>
      </c>
      <c r="B53" s="54"/>
      <c r="C53" s="35" t="s">
        <v>71</v>
      </c>
      <c r="D53" s="35"/>
      <c r="E53" s="36">
        <v>420</v>
      </c>
      <c r="F53" s="37">
        <v>6262</v>
      </c>
      <c r="G53" s="38">
        <v>0</v>
      </c>
      <c r="H53" s="7" t="s">
        <v>7</v>
      </c>
      <c r="I53" s="35" t="s">
        <v>72</v>
      </c>
    </row>
    <row r="54" spans="1:9" ht="19.2" x14ac:dyDescent="0.45">
      <c r="A54" s="39" t="s">
        <v>13</v>
      </c>
      <c r="B54" s="55"/>
      <c r="C54" s="40" t="s">
        <v>73</v>
      </c>
      <c r="D54" s="40"/>
      <c r="E54" s="41">
        <v>20</v>
      </c>
      <c r="F54" s="42">
        <v>611</v>
      </c>
      <c r="G54" s="43">
        <v>20000</v>
      </c>
      <c r="H54" s="7" t="s">
        <v>7</v>
      </c>
      <c r="I54" s="40" t="s">
        <v>74</v>
      </c>
    </row>
    <row r="55" spans="1:9" ht="19.8" thickBot="1" x14ac:dyDescent="0.5">
      <c r="A55" s="29" t="s">
        <v>13</v>
      </c>
      <c r="B55" s="53"/>
      <c r="C55" s="30" t="s">
        <v>73</v>
      </c>
      <c r="D55" s="30"/>
      <c r="E55" s="31">
        <v>20</v>
      </c>
      <c r="F55" s="32">
        <v>611</v>
      </c>
      <c r="G55" s="33">
        <v>50000</v>
      </c>
      <c r="H55" s="7" t="s">
        <v>7</v>
      </c>
      <c r="I55" s="30" t="s">
        <v>75</v>
      </c>
    </row>
    <row r="56" spans="1:9" ht="19.8" thickTop="1" x14ac:dyDescent="0.45">
      <c r="A56" s="2" t="s">
        <v>13</v>
      </c>
      <c r="B56" s="52" t="s">
        <v>156</v>
      </c>
      <c r="C56" s="25" t="s">
        <v>73</v>
      </c>
      <c r="D56" s="25"/>
      <c r="E56" s="26">
        <v>213</v>
      </c>
      <c r="F56" s="27">
        <v>611</v>
      </c>
      <c r="G56" s="28">
        <v>3500</v>
      </c>
      <c r="H56" s="7" t="s">
        <v>7</v>
      </c>
      <c r="I56" s="25" t="s">
        <v>76</v>
      </c>
    </row>
    <row r="57" spans="1:9" ht="19.2" x14ac:dyDescent="0.45">
      <c r="A57" s="29" t="s">
        <v>13</v>
      </c>
      <c r="B57" s="53"/>
      <c r="C57" s="30" t="s">
        <v>73</v>
      </c>
      <c r="D57" s="30"/>
      <c r="E57" s="31">
        <v>20</v>
      </c>
      <c r="F57" s="32">
        <v>611</v>
      </c>
      <c r="G57" s="33">
        <v>15000</v>
      </c>
      <c r="H57" s="7" t="s">
        <v>7</v>
      </c>
      <c r="I57" s="30" t="s">
        <v>77</v>
      </c>
    </row>
    <row r="58" spans="1:9" ht="19.2" x14ac:dyDescent="0.45">
      <c r="A58" s="39" t="s">
        <v>13</v>
      </c>
      <c r="B58" s="55"/>
      <c r="C58" s="40" t="s">
        <v>73</v>
      </c>
      <c r="D58" s="40"/>
      <c r="E58" s="41">
        <v>20</v>
      </c>
      <c r="F58" s="42">
        <v>611</v>
      </c>
      <c r="G58" s="43">
        <v>5000</v>
      </c>
      <c r="H58" s="7" t="s">
        <v>7</v>
      </c>
      <c r="I58" s="40" t="s">
        <v>78</v>
      </c>
    </row>
    <row r="59" spans="1:9" ht="19.2" x14ac:dyDescent="0.45">
      <c r="A59" s="29" t="s">
        <v>13</v>
      </c>
      <c r="B59" s="53"/>
      <c r="C59" s="30" t="s">
        <v>73</v>
      </c>
      <c r="D59" s="30"/>
      <c r="E59" s="31">
        <v>20</v>
      </c>
      <c r="F59" s="32">
        <v>611</v>
      </c>
      <c r="G59" s="33">
        <v>10000</v>
      </c>
      <c r="H59" s="7" t="s">
        <v>7</v>
      </c>
      <c r="I59" s="30" t="s">
        <v>79</v>
      </c>
    </row>
    <row r="60" spans="1:9" ht="19.8" thickBot="1" x14ac:dyDescent="0.5">
      <c r="A60" s="39" t="s">
        <v>13</v>
      </c>
      <c r="B60" s="55"/>
      <c r="C60" s="40" t="s">
        <v>80</v>
      </c>
      <c r="D60" s="40"/>
      <c r="E60" s="41">
        <v>20</v>
      </c>
      <c r="F60" s="42">
        <v>617</v>
      </c>
      <c r="G60" s="43">
        <v>500</v>
      </c>
      <c r="H60" s="7" t="s">
        <v>7</v>
      </c>
      <c r="I60" s="40" t="s">
        <v>81</v>
      </c>
    </row>
    <row r="61" spans="1:9" ht="19.8" thickTop="1" x14ac:dyDescent="0.45">
      <c r="A61" s="2" t="s">
        <v>13</v>
      </c>
      <c r="B61" s="54" t="s">
        <v>156</v>
      </c>
      <c r="C61" s="35" t="s">
        <v>82</v>
      </c>
      <c r="D61" s="35"/>
      <c r="E61" s="36">
        <v>213</v>
      </c>
      <c r="F61" s="37">
        <v>617</v>
      </c>
      <c r="G61" s="38">
        <v>1000</v>
      </c>
      <c r="H61" s="7" t="s">
        <v>7</v>
      </c>
      <c r="I61" s="35" t="s">
        <v>83</v>
      </c>
    </row>
    <row r="62" spans="1:9" ht="19.8" thickBot="1" x14ac:dyDescent="0.5">
      <c r="A62" s="39" t="s">
        <v>13</v>
      </c>
      <c r="B62" s="55"/>
      <c r="C62" s="40" t="s">
        <v>84</v>
      </c>
      <c r="D62" s="40"/>
      <c r="E62" s="41">
        <v>20</v>
      </c>
      <c r="F62" s="42">
        <v>6378</v>
      </c>
      <c r="G62" s="43">
        <v>900</v>
      </c>
      <c r="H62" s="7" t="s">
        <v>7</v>
      </c>
      <c r="I62" s="40" t="s">
        <v>85</v>
      </c>
    </row>
    <row r="63" spans="1:9" ht="19.8" thickTop="1" x14ac:dyDescent="0.45">
      <c r="A63" s="2" t="s">
        <v>13</v>
      </c>
      <c r="B63" s="54" t="s">
        <v>156</v>
      </c>
      <c r="C63" s="35" t="s">
        <v>86</v>
      </c>
      <c r="D63" s="35"/>
      <c r="E63" s="36">
        <v>213</v>
      </c>
      <c r="F63" s="37">
        <v>6064</v>
      </c>
      <c r="G63" s="38">
        <v>0</v>
      </c>
      <c r="H63" s="7" t="s">
        <v>7</v>
      </c>
      <c r="I63" s="35" t="s">
        <v>87</v>
      </c>
    </row>
    <row r="64" spans="1:9" ht="19.8" thickBot="1" x14ac:dyDescent="0.5">
      <c r="A64" s="39" t="s">
        <v>13</v>
      </c>
      <c r="B64" s="55"/>
      <c r="C64" s="40" t="s">
        <v>88</v>
      </c>
      <c r="D64" s="40"/>
      <c r="E64" s="41">
        <v>20</v>
      </c>
      <c r="F64" s="42">
        <v>6156</v>
      </c>
      <c r="G64" s="43">
        <v>34000</v>
      </c>
      <c r="H64" s="7" t="s">
        <v>7</v>
      </c>
      <c r="I64" s="40" t="s">
        <v>89</v>
      </c>
    </row>
    <row r="65" spans="1:9" ht="19.8" thickTop="1" x14ac:dyDescent="0.45">
      <c r="A65" s="34" t="s">
        <v>13</v>
      </c>
      <c r="B65" s="54"/>
      <c r="C65" s="35" t="s">
        <v>90</v>
      </c>
      <c r="D65" s="35"/>
      <c r="E65" s="36">
        <v>20</v>
      </c>
      <c r="F65" s="37">
        <v>6184</v>
      </c>
      <c r="G65" s="38">
        <v>10000</v>
      </c>
      <c r="H65" s="7" t="s">
        <v>7</v>
      </c>
      <c r="I65" s="35"/>
    </row>
    <row r="66" spans="1:9" ht="19.8" thickBot="1" x14ac:dyDescent="0.5">
      <c r="A66" s="39" t="s">
        <v>13</v>
      </c>
      <c r="B66" s="55"/>
      <c r="C66" s="40" t="s">
        <v>91</v>
      </c>
      <c r="D66" s="40"/>
      <c r="E66" s="41">
        <v>20</v>
      </c>
      <c r="F66" s="42">
        <v>6188</v>
      </c>
      <c r="G66" s="43">
        <v>10000</v>
      </c>
      <c r="H66" s="7" t="s">
        <v>7</v>
      </c>
      <c r="I66" s="40"/>
    </row>
    <row r="67" spans="1:9" ht="19.8" thickTop="1" x14ac:dyDescent="0.45">
      <c r="A67" s="34" t="s">
        <v>13</v>
      </c>
      <c r="B67" s="54"/>
      <c r="C67" s="35" t="s">
        <v>92</v>
      </c>
      <c r="D67" s="35"/>
      <c r="E67" s="36">
        <v>20</v>
      </c>
      <c r="F67" s="37">
        <v>6241</v>
      </c>
      <c r="G67" s="38">
        <v>800</v>
      </c>
      <c r="H67" s="7" t="s">
        <v>7</v>
      </c>
      <c r="I67" s="35"/>
    </row>
    <row r="68" spans="1:9" ht="19.2" x14ac:dyDescent="0.45">
      <c r="A68" s="39" t="s">
        <v>13</v>
      </c>
      <c r="B68" s="55"/>
      <c r="C68" s="40" t="s">
        <v>93</v>
      </c>
      <c r="D68" s="40"/>
      <c r="E68" s="41">
        <v>20</v>
      </c>
      <c r="F68" s="42">
        <v>6281</v>
      </c>
      <c r="G68" s="43">
        <v>20000</v>
      </c>
      <c r="H68" s="7" t="s">
        <v>7</v>
      </c>
      <c r="I68" s="40" t="s">
        <v>94</v>
      </c>
    </row>
    <row r="69" spans="1:9" ht="19.8" thickBot="1" x14ac:dyDescent="0.5">
      <c r="A69" s="2" t="s">
        <v>13</v>
      </c>
      <c r="B69" s="53" t="s">
        <v>156</v>
      </c>
      <c r="C69" s="30" t="s">
        <v>95</v>
      </c>
      <c r="D69" s="30"/>
      <c r="E69" s="31">
        <v>213</v>
      </c>
      <c r="F69" s="32">
        <v>60632</v>
      </c>
      <c r="G69" s="33">
        <v>5000</v>
      </c>
      <c r="H69" s="7" t="s">
        <v>7</v>
      </c>
      <c r="I69" s="30" t="s">
        <v>96</v>
      </c>
    </row>
    <row r="70" spans="1:9" ht="20.399999999999999" thickTop="1" thickBot="1" x14ac:dyDescent="0.5">
      <c r="A70" s="2" t="s">
        <v>13</v>
      </c>
      <c r="B70" s="56" t="s">
        <v>156</v>
      </c>
      <c r="C70" s="25" t="s">
        <v>97</v>
      </c>
      <c r="D70" s="25"/>
      <c r="E70" s="26">
        <v>213</v>
      </c>
      <c r="F70" s="27">
        <v>65811</v>
      </c>
      <c r="G70" s="28">
        <v>14000</v>
      </c>
      <c r="H70" s="7" t="s">
        <v>7</v>
      </c>
      <c r="I70" s="25" t="s">
        <v>98</v>
      </c>
    </row>
    <row r="71" spans="1:9" ht="20.399999999999999" thickTop="1" thickBot="1" x14ac:dyDescent="0.5">
      <c r="A71" s="29" t="s">
        <v>13</v>
      </c>
      <c r="B71" s="57" t="s">
        <v>155</v>
      </c>
      <c r="C71" s="35" t="s">
        <v>99</v>
      </c>
      <c r="D71" s="59"/>
      <c r="E71" s="31">
        <v>20</v>
      </c>
      <c r="F71" s="32">
        <v>6156</v>
      </c>
      <c r="G71" s="33">
        <v>8000</v>
      </c>
      <c r="H71" s="7" t="s">
        <v>7</v>
      </c>
      <c r="I71" s="30" t="s">
        <v>100</v>
      </c>
    </row>
    <row r="72" spans="1:9" ht="20.399999999999999" thickTop="1" thickBot="1" x14ac:dyDescent="0.5">
      <c r="A72" s="29" t="s">
        <v>13</v>
      </c>
      <c r="B72" s="56" t="s">
        <v>155</v>
      </c>
      <c r="C72" s="25" t="s">
        <v>101</v>
      </c>
      <c r="D72" s="60"/>
      <c r="E72" s="41">
        <v>20</v>
      </c>
      <c r="F72" s="42">
        <v>611</v>
      </c>
      <c r="G72" s="43">
        <v>15000</v>
      </c>
      <c r="H72" s="7" t="s">
        <v>7</v>
      </c>
      <c r="I72" s="40"/>
    </row>
    <row r="73" spans="1:9" ht="19.8" thickTop="1" x14ac:dyDescent="0.45">
      <c r="A73" s="29" t="s">
        <v>13</v>
      </c>
      <c r="B73" s="57" t="s">
        <v>155</v>
      </c>
      <c r="C73" s="35" t="s">
        <v>102</v>
      </c>
      <c r="D73" s="59"/>
      <c r="E73" s="31">
        <v>20</v>
      </c>
      <c r="F73" s="32">
        <v>65811</v>
      </c>
      <c r="G73" s="33">
        <v>120000</v>
      </c>
      <c r="H73" s="7" t="s">
        <v>7</v>
      </c>
      <c r="I73" s="30" t="s">
        <v>103</v>
      </c>
    </row>
    <row r="74" spans="1:9" ht="19.8" thickBot="1" x14ac:dyDescent="0.5">
      <c r="A74" s="29" t="s">
        <v>13</v>
      </c>
      <c r="B74" s="55" t="s">
        <v>155</v>
      </c>
      <c r="C74" s="40" t="s">
        <v>104</v>
      </c>
      <c r="D74" s="40"/>
      <c r="E74" s="41">
        <v>20</v>
      </c>
      <c r="F74" s="42">
        <v>611</v>
      </c>
      <c r="G74" s="43">
        <v>13500</v>
      </c>
      <c r="H74" s="7" t="s">
        <v>7</v>
      </c>
      <c r="I74" s="40"/>
    </row>
    <row r="75" spans="1:9" ht="19.8" thickTop="1" x14ac:dyDescent="0.45">
      <c r="A75" s="34"/>
      <c r="B75" s="54"/>
      <c r="C75" s="35" t="s">
        <v>33</v>
      </c>
      <c r="D75" s="35"/>
      <c r="E75" s="36"/>
      <c r="F75" s="37"/>
      <c r="G75" s="38"/>
      <c r="H75" s="7" t="s">
        <v>7</v>
      </c>
      <c r="I75" s="35"/>
    </row>
    <row r="76" spans="1:9" ht="19.8" thickBot="1" x14ac:dyDescent="0.5">
      <c r="A76" s="39" t="s">
        <v>10</v>
      </c>
      <c r="B76" s="55"/>
      <c r="C76" s="40" t="s">
        <v>105</v>
      </c>
      <c r="D76" s="40"/>
      <c r="E76" s="41">
        <v>20</v>
      </c>
      <c r="F76" s="42">
        <v>60632</v>
      </c>
      <c r="G76" s="43">
        <v>10000</v>
      </c>
      <c r="H76" s="7" t="s">
        <v>7</v>
      </c>
      <c r="I76" s="40"/>
    </row>
    <row r="77" spans="1:9" ht="19.8" thickTop="1" x14ac:dyDescent="0.45">
      <c r="A77" s="29" t="s">
        <v>10</v>
      </c>
      <c r="B77" s="57"/>
      <c r="C77" s="35" t="s">
        <v>107</v>
      </c>
      <c r="D77" s="35"/>
      <c r="E77" s="36">
        <v>20</v>
      </c>
      <c r="F77" s="37">
        <v>611</v>
      </c>
      <c r="G77" s="38">
        <v>20000</v>
      </c>
      <c r="H77" s="7" t="s">
        <v>7</v>
      </c>
      <c r="I77" s="35"/>
    </row>
    <row r="78" spans="1:9" ht="19.8" thickBot="1" x14ac:dyDescent="0.5">
      <c r="A78" s="39" t="s">
        <v>10</v>
      </c>
      <c r="B78" s="55"/>
      <c r="C78" s="40" t="s">
        <v>108</v>
      </c>
      <c r="D78" s="40"/>
      <c r="E78" s="41">
        <v>20</v>
      </c>
      <c r="F78" s="42">
        <v>6156</v>
      </c>
      <c r="G78" s="43">
        <v>30000</v>
      </c>
      <c r="H78" s="7" t="s">
        <v>7</v>
      </c>
      <c r="I78" s="40" t="s">
        <v>109</v>
      </c>
    </row>
    <row r="79" spans="1:9" ht="19.8" thickTop="1" x14ac:dyDescent="0.45">
      <c r="A79" s="29" t="s">
        <v>10</v>
      </c>
      <c r="B79" s="57"/>
      <c r="C79" s="35" t="s">
        <v>110</v>
      </c>
      <c r="D79" s="35"/>
      <c r="E79" s="36">
        <v>20</v>
      </c>
      <c r="F79" s="37">
        <v>6188</v>
      </c>
      <c r="G79" s="38">
        <v>10000</v>
      </c>
      <c r="H79" s="7" t="s">
        <v>7</v>
      </c>
      <c r="I79" s="35" t="s">
        <v>111</v>
      </c>
    </row>
    <row r="80" spans="1:9" ht="19.8" thickBot="1" x14ac:dyDescent="0.5">
      <c r="A80" s="39" t="s">
        <v>10</v>
      </c>
      <c r="B80" s="55"/>
      <c r="C80" s="40" t="s">
        <v>112</v>
      </c>
      <c r="D80" s="40"/>
      <c r="E80" s="41">
        <v>20</v>
      </c>
      <c r="F80" s="42">
        <v>6283</v>
      </c>
      <c r="G80" s="43">
        <v>2500</v>
      </c>
      <c r="H80" s="7" t="s">
        <v>7</v>
      </c>
      <c r="I80" s="40"/>
    </row>
    <row r="81" spans="1:9" ht="20.399999999999999" thickTop="1" thickBot="1" x14ac:dyDescent="0.5">
      <c r="A81" s="29" t="s">
        <v>10</v>
      </c>
      <c r="B81" s="57"/>
      <c r="C81" s="35" t="s">
        <v>113</v>
      </c>
      <c r="D81" s="35"/>
      <c r="E81" s="36">
        <v>20</v>
      </c>
      <c r="F81" s="37">
        <v>65811</v>
      </c>
      <c r="G81" s="38">
        <v>40000</v>
      </c>
      <c r="H81" s="7" t="s">
        <v>7</v>
      </c>
      <c r="I81" s="35" t="s">
        <v>114</v>
      </c>
    </row>
    <row r="82" spans="1:9" ht="19.8" thickTop="1" x14ac:dyDescent="0.45">
      <c r="A82" s="39" t="s">
        <v>10</v>
      </c>
      <c r="B82" s="56"/>
      <c r="C82" s="25" t="s">
        <v>115</v>
      </c>
      <c r="D82" s="25"/>
      <c r="E82" s="26">
        <v>20</v>
      </c>
      <c r="F82" s="27">
        <v>6156</v>
      </c>
      <c r="G82" s="28">
        <v>15000</v>
      </c>
      <c r="H82" s="7" t="s">
        <v>7</v>
      </c>
      <c r="I82" s="25" t="s">
        <v>116</v>
      </c>
    </row>
    <row r="83" spans="1:9" ht="19.8" thickBot="1" x14ac:dyDescent="0.5">
      <c r="A83" s="29" t="s">
        <v>10</v>
      </c>
      <c r="B83" s="57"/>
      <c r="C83" s="44" t="s">
        <v>117</v>
      </c>
      <c r="D83" s="44"/>
      <c r="E83" s="31">
        <v>20</v>
      </c>
      <c r="F83" s="32">
        <v>61358</v>
      </c>
      <c r="G83" s="33">
        <v>0</v>
      </c>
      <c r="H83" s="7" t="s">
        <v>7</v>
      </c>
      <c r="I83" s="30" t="s">
        <v>118</v>
      </c>
    </row>
    <row r="84" spans="1:9" ht="20.399999999999999" thickTop="1" thickBot="1" x14ac:dyDescent="0.5">
      <c r="A84" s="34" t="s">
        <v>45</v>
      </c>
      <c r="B84" s="54"/>
      <c r="C84" s="35" t="s">
        <v>106</v>
      </c>
      <c r="D84" s="35"/>
      <c r="E84" s="36">
        <v>20</v>
      </c>
      <c r="F84" s="37">
        <v>611</v>
      </c>
      <c r="G84" s="38">
        <v>60000</v>
      </c>
      <c r="H84" s="7" t="s">
        <v>7</v>
      </c>
      <c r="I84" s="35" t="s">
        <v>119</v>
      </c>
    </row>
    <row r="85" spans="1:9" ht="19.8" thickTop="1" x14ac:dyDescent="0.45">
      <c r="A85" s="24" t="s">
        <v>45</v>
      </c>
      <c r="B85" s="52"/>
      <c r="C85" s="25" t="s">
        <v>120</v>
      </c>
      <c r="D85" s="25"/>
      <c r="E85" s="26" t="s">
        <v>121</v>
      </c>
      <c r="F85" s="27">
        <v>6156</v>
      </c>
      <c r="G85" s="28">
        <v>164500</v>
      </c>
      <c r="H85" s="7" t="s">
        <v>7</v>
      </c>
      <c r="I85" s="25" t="s">
        <v>122</v>
      </c>
    </row>
    <row r="86" spans="1:9" ht="19.2" x14ac:dyDescent="0.45">
      <c r="A86" s="29" t="s">
        <v>45</v>
      </c>
      <c r="B86" s="53"/>
      <c r="C86" s="30" t="s">
        <v>123</v>
      </c>
      <c r="D86" s="30"/>
      <c r="E86" s="31">
        <v>20</v>
      </c>
      <c r="F86" s="32">
        <v>6156</v>
      </c>
      <c r="G86" s="33">
        <v>25000</v>
      </c>
      <c r="H86" s="7" t="s">
        <v>7</v>
      </c>
      <c r="I86" s="30"/>
    </row>
    <row r="87" spans="1:9" ht="19.2" x14ac:dyDescent="0.45">
      <c r="A87" s="39" t="s">
        <v>45</v>
      </c>
      <c r="B87" s="55"/>
      <c r="C87" s="40" t="s">
        <v>124</v>
      </c>
      <c r="D87" s="40"/>
      <c r="E87" s="41">
        <v>20</v>
      </c>
      <c r="F87" s="42">
        <v>611</v>
      </c>
      <c r="G87" s="43">
        <v>60000</v>
      </c>
      <c r="H87" s="7" t="s">
        <v>7</v>
      </c>
      <c r="I87" s="40"/>
    </row>
    <row r="88" spans="1:9" ht="19.8" thickBot="1" x14ac:dyDescent="0.5">
      <c r="A88" s="29" t="s">
        <v>45</v>
      </c>
      <c r="B88" s="53"/>
      <c r="C88" s="30" t="s">
        <v>125</v>
      </c>
      <c r="D88" s="30"/>
      <c r="E88" s="31">
        <v>20</v>
      </c>
      <c r="F88" s="32">
        <v>6184</v>
      </c>
      <c r="G88" s="33">
        <v>40000</v>
      </c>
      <c r="H88" s="7" t="s">
        <v>7</v>
      </c>
      <c r="I88" s="30" t="s">
        <v>126</v>
      </c>
    </row>
    <row r="89" spans="1:9" ht="20.399999999999999" thickTop="1" thickBot="1" x14ac:dyDescent="0.5">
      <c r="A89" s="24" t="s">
        <v>45</v>
      </c>
      <c r="B89" s="52"/>
      <c r="C89" s="25" t="s">
        <v>127</v>
      </c>
      <c r="D89" s="25"/>
      <c r="E89" s="26">
        <v>20</v>
      </c>
      <c r="F89" s="27">
        <v>6188</v>
      </c>
      <c r="G89" s="28">
        <v>20000</v>
      </c>
      <c r="H89" s="7" t="s">
        <v>7</v>
      </c>
      <c r="I89" s="25" t="s">
        <v>128</v>
      </c>
    </row>
    <row r="90" spans="1:9" ht="20.399999999999999" thickTop="1" thickBot="1" x14ac:dyDescent="0.5">
      <c r="A90" s="34" t="s">
        <v>45</v>
      </c>
      <c r="B90" s="54"/>
      <c r="C90" s="35" t="s">
        <v>129</v>
      </c>
      <c r="D90" s="35"/>
      <c r="E90" s="36">
        <v>20</v>
      </c>
      <c r="F90" s="37">
        <v>65811</v>
      </c>
      <c r="G90" s="38">
        <v>10000</v>
      </c>
      <c r="H90" s="7" t="s">
        <v>7</v>
      </c>
      <c r="I90" s="35"/>
    </row>
    <row r="91" spans="1:9" ht="20.399999999999999" thickTop="1" thickBot="1" x14ac:dyDescent="0.5">
      <c r="A91" s="24" t="s">
        <v>45</v>
      </c>
      <c r="B91" s="52"/>
      <c r="C91" s="25" t="s">
        <v>130</v>
      </c>
      <c r="D91" s="25"/>
      <c r="E91" s="26"/>
      <c r="F91" s="27">
        <v>6512</v>
      </c>
      <c r="G91" s="28">
        <v>300</v>
      </c>
      <c r="H91" s="7" t="s">
        <v>7</v>
      </c>
      <c r="I91" s="25"/>
    </row>
    <row r="92" spans="1:9" ht="20.399999999999999" thickTop="1" thickBot="1" x14ac:dyDescent="0.5">
      <c r="A92" s="34" t="s">
        <v>45</v>
      </c>
      <c r="B92" s="54"/>
      <c r="C92" s="35" t="s">
        <v>131</v>
      </c>
      <c r="D92" s="35"/>
      <c r="E92" s="36">
        <v>20</v>
      </c>
      <c r="F92" s="37">
        <v>65811</v>
      </c>
      <c r="G92" s="38">
        <v>30000</v>
      </c>
      <c r="H92" s="7" t="s">
        <v>7</v>
      </c>
      <c r="I92" s="35" t="s">
        <v>132</v>
      </c>
    </row>
    <row r="93" spans="1:9" ht="20.399999999999999" thickTop="1" thickBot="1" x14ac:dyDescent="0.5">
      <c r="A93" s="24" t="s">
        <v>45</v>
      </c>
      <c r="B93" s="52"/>
      <c r="C93" s="25" t="s">
        <v>133</v>
      </c>
      <c r="D93" s="25"/>
      <c r="E93" s="26">
        <v>414</v>
      </c>
      <c r="F93" s="27">
        <v>65818</v>
      </c>
      <c r="G93" s="28">
        <v>90000</v>
      </c>
      <c r="H93" s="7" t="s">
        <v>7</v>
      </c>
      <c r="I93" s="25" t="s">
        <v>134</v>
      </c>
    </row>
    <row r="94" spans="1:9" ht="20.399999999999999" thickTop="1" thickBot="1" x14ac:dyDescent="0.5">
      <c r="A94" s="34" t="s">
        <v>45</v>
      </c>
      <c r="B94" s="54"/>
      <c r="C94" s="35" t="s">
        <v>135</v>
      </c>
      <c r="D94" s="35"/>
      <c r="E94" s="36"/>
      <c r="F94" s="37">
        <v>65818</v>
      </c>
      <c r="G94" s="38">
        <v>20000</v>
      </c>
      <c r="H94" s="7" t="s">
        <v>7</v>
      </c>
      <c r="I94" s="35"/>
    </row>
    <row r="95" spans="1:9" ht="19.8" thickTop="1" x14ac:dyDescent="0.45">
      <c r="A95" s="24" t="s">
        <v>45</v>
      </c>
      <c r="B95" s="52"/>
      <c r="C95" s="25" t="s">
        <v>136</v>
      </c>
      <c r="D95" s="25"/>
      <c r="E95" s="26" t="s">
        <v>121</v>
      </c>
      <c r="F95" s="27">
        <v>65818</v>
      </c>
      <c r="G95" s="28">
        <v>162000</v>
      </c>
      <c r="H95" s="7" t="s">
        <v>7</v>
      </c>
      <c r="I95" s="25" t="s">
        <v>137</v>
      </c>
    </row>
    <row r="96" spans="1:9" ht="19.8" thickBot="1" x14ac:dyDescent="0.5">
      <c r="A96" s="29" t="s">
        <v>45</v>
      </c>
      <c r="B96" s="53"/>
      <c r="C96" s="30" t="s">
        <v>138</v>
      </c>
      <c r="D96" s="30"/>
      <c r="E96" s="31"/>
      <c r="F96" s="32">
        <v>6156</v>
      </c>
      <c r="G96" s="33">
        <v>200</v>
      </c>
      <c r="H96" s="7" t="s">
        <v>7</v>
      </c>
      <c r="I96" s="30"/>
    </row>
    <row r="97" spans="1:9" ht="20.399999999999999" thickTop="1" thickBot="1" x14ac:dyDescent="0.5">
      <c r="A97" s="24" t="s">
        <v>45</v>
      </c>
      <c r="B97" s="52"/>
      <c r="C97" s="25" t="s">
        <v>139</v>
      </c>
      <c r="D97" s="25"/>
      <c r="E97" s="26"/>
      <c r="F97" s="27">
        <v>6156</v>
      </c>
      <c r="G97" s="28">
        <v>2300</v>
      </c>
      <c r="H97" s="7" t="s">
        <v>7</v>
      </c>
      <c r="I97" s="25"/>
    </row>
    <row r="98" spans="1:9" ht="19.8" thickTop="1" x14ac:dyDescent="0.45">
      <c r="A98" s="24" t="s">
        <v>34</v>
      </c>
      <c r="B98" s="52"/>
      <c r="C98" s="25" t="s">
        <v>140</v>
      </c>
      <c r="D98" s="25"/>
      <c r="E98" s="26">
        <v>20</v>
      </c>
      <c r="F98" s="27">
        <v>60632</v>
      </c>
      <c r="G98" s="28">
        <v>20000</v>
      </c>
      <c r="H98" s="7" t="s">
        <v>7</v>
      </c>
      <c r="I98" s="25"/>
    </row>
    <row r="99" spans="1:9" ht="19.2" x14ac:dyDescent="0.45">
      <c r="A99" s="29" t="s">
        <v>34</v>
      </c>
      <c r="B99" s="53"/>
      <c r="C99" s="30" t="s">
        <v>141</v>
      </c>
      <c r="D99" s="30"/>
      <c r="E99" s="31">
        <v>20</v>
      </c>
      <c r="F99" s="32">
        <v>6064</v>
      </c>
      <c r="G99" s="33">
        <v>62000</v>
      </c>
      <c r="H99" s="7" t="s">
        <v>7</v>
      </c>
      <c r="I99" s="30"/>
    </row>
    <row r="100" spans="1:9" ht="19.8" thickBot="1" x14ac:dyDescent="0.5">
      <c r="A100" s="39" t="s">
        <v>34</v>
      </c>
      <c r="B100" s="55"/>
      <c r="C100" s="40" t="s">
        <v>142</v>
      </c>
      <c r="D100" s="40"/>
      <c r="E100" s="41"/>
      <c r="F100" s="42">
        <v>6064</v>
      </c>
      <c r="G100" s="43">
        <v>1000</v>
      </c>
      <c r="H100" s="7" t="s">
        <v>7</v>
      </c>
      <c r="I100" s="40"/>
    </row>
    <row r="101" spans="1:9" ht="20.399999999999999" thickTop="1" thickBot="1" x14ac:dyDescent="0.5">
      <c r="A101" s="34" t="s">
        <v>34</v>
      </c>
      <c r="B101" s="54"/>
      <c r="C101" s="35" t="s">
        <v>143</v>
      </c>
      <c r="D101" s="35"/>
      <c r="E101" s="36">
        <v>20</v>
      </c>
      <c r="F101" s="37">
        <v>611</v>
      </c>
      <c r="G101" s="38">
        <v>10000</v>
      </c>
      <c r="H101" s="7" t="s">
        <v>7</v>
      </c>
      <c r="I101" s="35"/>
    </row>
    <row r="102" spans="1:9" ht="19.8" thickTop="1" x14ac:dyDescent="0.45">
      <c r="A102" s="24" t="s">
        <v>34</v>
      </c>
      <c r="B102" s="52"/>
      <c r="C102" s="45" t="s">
        <v>144</v>
      </c>
      <c r="D102" s="45"/>
      <c r="E102" s="41">
        <v>20</v>
      </c>
      <c r="F102" s="42">
        <v>61558</v>
      </c>
      <c r="G102" s="43">
        <v>0</v>
      </c>
      <c r="H102" s="7" t="s">
        <v>7</v>
      </c>
      <c r="I102" s="40"/>
    </row>
    <row r="103" spans="1:9" ht="19.8" thickBot="1" x14ac:dyDescent="0.5">
      <c r="A103" s="29" t="s">
        <v>34</v>
      </c>
      <c r="B103" s="53"/>
      <c r="C103" s="30" t="s">
        <v>145</v>
      </c>
      <c r="D103" s="30"/>
      <c r="E103" s="31">
        <v>20</v>
      </c>
      <c r="F103" s="32">
        <v>6156</v>
      </c>
      <c r="G103" s="33">
        <v>9000</v>
      </c>
      <c r="H103" s="7" t="s">
        <v>7</v>
      </c>
      <c r="I103" s="30" t="s">
        <v>146</v>
      </c>
    </row>
    <row r="104" spans="1:9" ht="19.8" thickTop="1" x14ac:dyDescent="0.45">
      <c r="A104" s="24" t="s">
        <v>34</v>
      </c>
      <c r="B104" s="52"/>
      <c r="C104" s="25" t="s">
        <v>147</v>
      </c>
      <c r="D104" s="25"/>
      <c r="E104" s="26">
        <v>20</v>
      </c>
      <c r="F104" s="27">
        <v>65811</v>
      </c>
      <c r="G104" s="28">
        <v>3500</v>
      </c>
      <c r="H104" s="7" t="s">
        <v>7</v>
      </c>
      <c r="I104" s="40" t="s">
        <v>148</v>
      </c>
    </row>
    <row r="105" spans="1:9" ht="19.8" thickBot="1" x14ac:dyDescent="0.5">
      <c r="A105" s="29" t="s">
        <v>34</v>
      </c>
      <c r="B105" s="53"/>
      <c r="C105" s="30" t="s">
        <v>149</v>
      </c>
      <c r="D105" s="30"/>
      <c r="E105" s="31">
        <v>20</v>
      </c>
      <c r="F105" s="32">
        <v>65818</v>
      </c>
      <c r="G105" s="33">
        <v>35000</v>
      </c>
      <c r="H105" s="7" t="s">
        <v>7</v>
      </c>
      <c r="I105" s="30" t="s">
        <v>150</v>
      </c>
    </row>
    <row r="106" spans="1:9" ht="20.399999999999999" thickTop="1" thickBot="1" x14ac:dyDescent="0.5">
      <c r="A106" s="46" t="s">
        <v>34</v>
      </c>
      <c r="B106" s="58"/>
      <c r="C106" s="47" t="s">
        <v>151</v>
      </c>
      <c r="D106" s="47"/>
      <c r="E106" s="48">
        <v>311</v>
      </c>
      <c r="F106" s="49">
        <v>65818</v>
      </c>
      <c r="G106" s="50">
        <v>5000</v>
      </c>
      <c r="H106" s="7" t="s">
        <v>7</v>
      </c>
      <c r="I106" s="47" t="s">
        <v>152</v>
      </c>
    </row>
    <row r="107" spans="1:9" ht="15" thickTop="1" x14ac:dyDescent="0.3"/>
  </sheetData>
  <autoFilter ref="A1:I106" xr:uid="{BD31FAF8-4A63-4F9C-8AE1-1C3581B6B877}"/>
  <conditionalFormatting sqref="H6:H7 D3:H4 H9:H10 D5:G13 A3:C10 I10">
    <cfRule type="expression" dxfId="4" priority="43">
      <formula>$I2="OUI"</formula>
    </cfRule>
  </conditionalFormatting>
  <conditionalFormatting sqref="E34:E47 A14:G14 I14 A33:I33">
    <cfRule type="expression" dxfId="3" priority="15">
      <formula>#REF!="OUI"</formula>
    </cfRule>
  </conditionalFormatting>
  <conditionalFormatting sqref="I2:I9">
    <cfRule type="expression" dxfId="2" priority="10">
      <formula>$I2="OUI"</formula>
    </cfRule>
  </conditionalFormatting>
  <conditionalFormatting sqref="B56:C56 D48:G63 A57:C60 B61:C61 A62:C62 B63:C63 A48:C55 A64:G66 B69:C70 A67:C68 A71:C106 D67:G106 I105:I106 I48:I103">
    <cfRule type="expression" dxfId="1" priority="9">
      <formula>#REF!="OUI"</formula>
    </cfRule>
  </conditionalFormatting>
  <conditionalFormatting sqref="A34:D47 F34:I47 D15:G23 I15:I23 A11:C13 I11:I13 D24:I32 A15:C32 H48:H106 A56 A2:H2 H5 H8 H11:H23 A61 A63 A69:A70">
    <cfRule type="expression" dxfId="0" priority="44">
      <formula>#REF!="OUI"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CHEVALIER Marc</dc:creator>
  <cp:lastModifiedBy>CHEVALIER Marc</cp:lastModifiedBy>
  <dcterms:created xsi:type="dcterms:W3CDTF">2026-03-06T15:36:57Z</dcterms:created>
  <dcterms:modified xsi:type="dcterms:W3CDTF">2026-03-06T22:48:42Z</dcterms:modified>
</cp:coreProperties>
</file>