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DE\AppliDSI\"/>
    </mc:Choice>
  </mc:AlternateContent>
  <xr:revisionPtr revIDLastSave="0" documentId="8_{1E9EAD83-B076-47E4-85A2-7FD019FB50A2}" xr6:coauthVersionLast="47" xr6:coauthVersionMax="47" xr10:uidLastSave="{00000000-0000-0000-0000-000000000000}"/>
  <bookViews>
    <workbookView xWindow="-108" yWindow="-108" windowWidth="23256" windowHeight="12456" xr2:uid="{65226CD2-8908-4D0C-AE12-6223602DD092}"/>
  </bookViews>
  <sheets>
    <sheet name="Feuil1" sheetId="1" r:id="rId1"/>
  </sheets>
  <externalReferences>
    <externalReference r:id="rId2"/>
  </externalReferences>
  <definedNames>
    <definedName name="_xlnm._FilterDatabase" localSheetId="0" hidden="1">Feuil1!$A$1:$N$109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9" i="1" l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46" i="1"/>
  <c r="K44" i="1"/>
  <c r="K42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H19" i="1"/>
  <c r="K17" i="1"/>
  <c r="K16" i="1"/>
  <c r="K15" i="1"/>
  <c r="K14" i="1"/>
  <c r="K12" i="1"/>
  <c r="K11" i="1"/>
  <c r="K10" i="1"/>
  <c r="K9" i="1"/>
  <c r="K8" i="1"/>
  <c r="K7" i="1"/>
  <c r="K6" i="1"/>
  <c r="K5" i="1"/>
  <c r="K4" i="1"/>
  <c r="K3" i="1"/>
  <c r="K2" i="1"/>
  <c r="M1" i="1"/>
</calcChain>
</file>

<file path=xl/sharedStrings.xml><?xml version="1.0" encoding="utf-8"?>
<sst xmlns="http://schemas.openxmlformats.org/spreadsheetml/2006/main" count="420" uniqueCount="178">
  <si>
    <t>Libellé</t>
  </si>
  <si>
    <t>MCO</t>
  </si>
  <si>
    <t>C. Fonc.</t>
  </si>
  <si>
    <t>Montant prévu</t>
  </si>
  <si>
    <t>Terminé</t>
  </si>
  <si>
    <t>Solde</t>
  </si>
  <si>
    <t>Commentaire</t>
  </si>
  <si>
    <t>Ecoles (Matériel)</t>
  </si>
  <si>
    <t>oui</t>
  </si>
  <si>
    <t>NON</t>
  </si>
  <si>
    <t>Ecoles (Divers)</t>
  </si>
  <si>
    <t>Ecoles (VPI)</t>
  </si>
  <si>
    <t>BF6</t>
  </si>
  <si>
    <t>Ecoles (Cablages)</t>
  </si>
  <si>
    <t>Cybersécurité (Logiciels)</t>
  </si>
  <si>
    <t>BF1</t>
  </si>
  <si>
    <t>Renouvellement copieurs</t>
  </si>
  <si>
    <t>Office 365</t>
  </si>
  <si>
    <t>Certificats Electroniques</t>
  </si>
  <si>
    <t>Licences Antivirus</t>
  </si>
  <si>
    <t>Paiement année 2</t>
  </si>
  <si>
    <t>SOC AISI</t>
  </si>
  <si>
    <t>Licences UTM / Firewall</t>
  </si>
  <si>
    <t>licences 3 ans</t>
  </si>
  <si>
    <t>Bonus DSI</t>
  </si>
  <si>
    <t>non</t>
  </si>
  <si>
    <t>Licences Diverses</t>
  </si>
  <si>
    <t xml:space="preserve">Petits Cablages bâtiments communaux </t>
  </si>
  <si>
    <t>Renouvellement Matériels Actifs (Switching, Wifi, onduleurs …)</t>
  </si>
  <si>
    <t>Matériel Renouvellement Serveurs / SAN</t>
  </si>
  <si>
    <t>Matériels Téléphonie</t>
  </si>
  <si>
    <t xml:space="preserve">PROJETS INFRASTRUCTURE (130K à répartir) - Reste : </t>
  </si>
  <si>
    <t>Ondueurs Robespierre / HDV</t>
  </si>
  <si>
    <t>Modernisation téléphonie</t>
  </si>
  <si>
    <t>Bornes Wifi</t>
  </si>
  <si>
    <t>-</t>
  </si>
  <si>
    <t>BF9</t>
  </si>
  <si>
    <t>Matériels - demandes courantes des Services</t>
  </si>
  <si>
    <t>Logiciels - demande courantes des Services</t>
  </si>
  <si>
    <t>Licences annuelles avec engagement  (AutoCAD)</t>
  </si>
  <si>
    <t>Renouvellement du parc (Base)</t>
  </si>
  <si>
    <t>Reconditionnement PC (SSD, mémoire…)</t>
  </si>
  <si>
    <t>Moyens d'impression (imprimantes, scanner…)</t>
  </si>
  <si>
    <t xml:space="preserve">Téléphones mobiles et smartphones pour services </t>
  </si>
  <si>
    <t>Projet Renouvellement copieurs</t>
  </si>
  <si>
    <t>Suite arrêt maintenance</t>
  </si>
  <si>
    <t>Renouvellement parc élus</t>
  </si>
  <si>
    <t>BF8</t>
  </si>
  <si>
    <t>Adelyce</t>
  </si>
  <si>
    <t>Galaxie TAAM</t>
  </si>
  <si>
    <t>Neocity</t>
  </si>
  <si>
    <t xml:space="preserve">Synbird </t>
  </si>
  <si>
    <t>Renouvellement 3 ans</t>
  </si>
  <si>
    <t>Gestion des archives</t>
  </si>
  <si>
    <t>Archives Physiques</t>
  </si>
  <si>
    <t>Suivi des fluides</t>
  </si>
  <si>
    <t>Vote electronique</t>
  </si>
  <si>
    <t>montée version ARPEGE / Concerto</t>
  </si>
  <si>
    <t>Gestion des ATSL</t>
  </si>
  <si>
    <t>CartADS</t>
  </si>
  <si>
    <t>Tablettes Hangar/Luxy</t>
  </si>
  <si>
    <t>Logiciel SKELLO - Plannification</t>
  </si>
  <si>
    <t>Dématerialisations des CREP</t>
  </si>
  <si>
    <t>Inser propose un module</t>
  </si>
  <si>
    <t>Portail agent/RH Inser</t>
  </si>
  <si>
    <t xml:space="preserve">Sedit GF </t>
  </si>
  <si>
    <t>Dév comptabilité analytique</t>
  </si>
  <si>
    <t>C. Nature</t>
  </si>
  <si>
    <t>Frais de télécommunications</t>
  </si>
  <si>
    <t>Frais de télécommunications 020</t>
  </si>
  <si>
    <t>Frais de télécommunications 213</t>
  </si>
  <si>
    <t>Frais de télécommunications 321</t>
  </si>
  <si>
    <t>Frais de télécommunications 332</t>
  </si>
  <si>
    <t xml:space="preserve">Frais de télécommunications </t>
  </si>
  <si>
    <t>Frais de télécommunications 4221</t>
  </si>
  <si>
    <t>Frais de télécommunications 420</t>
  </si>
  <si>
    <t>SMS Millesime</t>
  </si>
  <si>
    <t>Prestations de services</t>
  </si>
  <si>
    <t>Prestations de services DSI</t>
  </si>
  <si>
    <t>SDSI (Schéma Directeur)</t>
  </si>
  <si>
    <t>Prestations de services Ecoles</t>
  </si>
  <si>
    <t>Accompagnement numérique responsable (Lucas)</t>
  </si>
  <si>
    <t>Accompagnement Microsoft (Lucas)</t>
  </si>
  <si>
    <t>Accompagnement Gouvernance de la donnée (Martin)</t>
  </si>
  <si>
    <t xml:space="preserve">Etudes et recherches </t>
  </si>
  <si>
    <t>RAAT Ville</t>
  </si>
  <si>
    <t>Etudes et recherches</t>
  </si>
  <si>
    <t>RAAT Ecoles</t>
  </si>
  <si>
    <t>Autres impôts, taxes et versements assimilés (autres organismes)</t>
  </si>
  <si>
    <t>Redevance Radio</t>
  </si>
  <si>
    <t>Fournitures administratives</t>
  </si>
  <si>
    <t>Consommables - Lampes</t>
  </si>
  <si>
    <t>Maintenance</t>
  </si>
  <si>
    <t>Maintenance copieurs</t>
  </si>
  <si>
    <t>Augmentation mécanique (+ de copieurs)</t>
  </si>
  <si>
    <t>Versements à des organismes de formation</t>
  </si>
  <si>
    <t>Formations DSI</t>
  </si>
  <si>
    <t>Prestations diverses DSI hors contrat</t>
  </si>
  <si>
    <t>Transports de biens</t>
  </si>
  <si>
    <t>Déménagements copieurs</t>
  </si>
  <si>
    <t>Concours divers (cotisations)</t>
  </si>
  <si>
    <t>Organismes de regroupement Coter, Resah, Sipperec, Canut…</t>
  </si>
  <si>
    <t>Centrales d'achat</t>
  </si>
  <si>
    <t>Fournitures de petit équipement</t>
  </si>
  <si>
    <t>[Ecoles] Fournitures de petit équipement</t>
  </si>
  <si>
    <t>adaptation à la réalité</t>
  </si>
  <si>
    <t>Droits d'utilisation - informatique en nuage</t>
  </si>
  <si>
    <t>[Ecoles] Informatique en nuage IAAS</t>
  </si>
  <si>
    <t>Sécu Tablettes (Tiny…)</t>
  </si>
  <si>
    <t>maintenance</t>
  </si>
  <si>
    <t>Maintenance outils Cyber</t>
  </si>
  <si>
    <t>RubyCAT</t>
  </si>
  <si>
    <t>[Cybersécu] Prestations accompagnement</t>
  </si>
  <si>
    <t>Autres</t>
  </si>
  <si>
    <t>[Cybersécu] IAAS</t>
  </si>
  <si>
    <t>Cybersécu MDM / Youzer / NameShield / Cyberwatch / Specops /Board of Cyber …</t>
  </si>
  <si>
    <t>Pentests (tests de pénétration)</t>
  </si>
  <si>
    <t>Fournitures de petit équipement BF6</t>
  </si>
  <si>
    <t>Petits équipements BF6</t>
  </si>
  <si>
    <t>Contrats de prestations de services</t>
  </si>
  <si>
    <t>Prestations de services BF6</t>
  </si>
  <si>
    <t xml:space="preserve">Maintenance </t>
  </si>
  <si>
    <t>Maintenance BF6</t>
  </si>
  <si>
    <t>Maintenance logiciels - Newis, SCCM, VXRail</t>
  </si>
  <si>
    <t>Autres frais divers</t>
  </si>
  <si>
    <t>Prestations diverses BF6 hors contrat</t>
  </si>
  <si>
    <t>Prestation exceptionnelles diverses</t>
  </si>
  <si>
    <t>Frais de nettoyage des locaux</t>
  </si>
  <si>
    <t>Licences SAAS IAAS BF6</t>
  </si>
  <si>
    <t>Rainbow, Pandora, Xtrem …</t>
  </si>
  <si>
    <t>Redevances pour concessions, brevets, licences, procédés, logiciels</t>
  </si>
  <si>
    <t>Logiciel On Premise - Souscription</t>
  </si>
  <si>
    <t>DBSqware</t>
  </si>
  <si>
    <t>Location</t>
  </si>
  <si>
    <t>Location baie GIPC</t>
  </si>
  <si>
    <t>Oubli sur 2026…</t>
  </si>
  <si>
    <t>Prestations diverses</t>
  </si>
  <si>
    <t>Maintenance Logiciels Métier</t>
  </si>
  <si>
    <t>Divers</t>
  </si>
  <si>
    <t>Récupération logiciels SIIM + talkie</t>
  </si>
  <si>
    <t>Maintenance SIRH / SII</t>
  </si>
  <si>
    <t>Prestations SII</t>
  </si>
  <si>
    <t>Formations Métier</t>
  </si>
  <si>
    <t>Ensemble des formations à organiser</t>
  </si>
  <si>
    <t>Prestas Diverses BF8</t>
  </si>
  <si>
    <t>Prestation diverses à la volée</t>
  </si>
  <si>
    <t>Monétique</t>
  </si>
  <si>
    <t>Monétique Luxy</t>
  </si>
  <si>
    <t>IAAS Métier</t>
  </si>
  <si>
    <t>Fast, paybox, interfaces RH, papercut, S2low…</t>
  </si>
  <si>
    <t>SAAS Santé</t>
  </si>
  <si>
    <t>Doctolib, cupidon…</t>
  </si>
  <si>
    <t>SAAS CMPP</t>
  </si>
  <si>
    <t>SAAS</t>
  </si>
  <si>
    <t>142K contraints + 30K nouveaux projets</t>
  </si>
  <si>
    <t>Maintenance - Restauration municipale</t>
  </si>
  <si>
    <t>Maintenance - Luxy</t>
  </si>
  <si>
    <t>Fournitures de petit équipement BF9</t>
  </si>
  <si>
    <t>Petits équipements BF9</t>
  </si>
  <si>
    <t>Consommables</t>
  </si>
  <si>
    <t>Consommables Luxy</t>
  </si>
  <si>
    <t>Prestations de services BF9</t>
  </si>
  <si>
    <t>Réparations</t>
  </si>
  <si>
    <t>Maintenance BF9</t>
  </si>
  <si>
    <t>Caldera, GLPI, NetSupport…</t>
  </si>
  <si>
    <t>IAAS BF9</t>
  </si>
  <si>
    <t>TeamViewer, Netsupport</t>
  </si>
  <si>
    <t>Licences Autres administration</t>
  </si>
  <si>
    <t>SAAS BF9 Adobe etc</t>
  </si>
  <si>
    <t>Adobe @Ville</t>
  </si>
  <si>
    <t>Licences Autres Educ</t>
  </si>
  <si>
    <t>SAAS Adobe@Spinoza</t>
  </si>
  <si>
    <t>Adobe @Spinoza</t>
  </si>
  <si>
    <t>Service</t>
  </si>
  <si>
    <t>Service Complément</t>
  </si>
  <si>
    <t>c</t>
  </si>
  <si>
    <t>e</t>
  </si>
  <si>
    <t>Nom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</si>
</sst>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#,##0.00\ &quot;€&quot;;[Red]\-#,##0.00\ &quot;€&quot;"/>
    <numFmt numFmtId="164" formatCode="#,##0\ &quot;€&quot;"/>
    <numFmt numFmtId="165" formatCode="#,##0.00\ &quot;€&quot;"/>
  </numFmts>
  <fonts count="6" x14ac:knownFonts="1">
    <font>
      <sz val="11"/>
      <color theme="1"/>
      <name val="Aptos Narrow"/>
      <family val="2"/>
      <scheme val="minor"/>
    </font>
    <font>
      <b/>
      <sz val="12"/>
      <color theme="0"/>
      <name val="Segoe UI"/>
      <family val="2"/>
    </font>
    <font>
      <sz val="12"/>
      <color theme="0"/>
      <name val="Segoe UI"/>
      <family val="2"/>
    </font>
    <font>
      <sz val="12"/>
      <color theme="1"/>
      <name val="Segoe UI"/>
      <family val="2"/>
    </font>
    <font>
      <b/>
      <sz val="12"/>
      <color theme="1"/>
      <name val="Segoe UI"/>
      <family val="2"/>
    </font>
    <font>
      <sz val="12"/>
      <color rgb="FFFF0000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22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ck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ck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ck">
        <color theme="0"/>
      </top>
      <bottom style="thick">
        <color theme="0"/>
      </bottom>
      <diagonal/>
    </border>
    <border>
      <left style="thin">
        <color theme="0"/>
      </left>
      <right/>
      <top style="thin">
        <color theme="0"/>
      </top>
      <bottom style="thick">
        <color theme="0"/>
      </bottom>
      <diagonal/>
    </border>
    <border>
      <left style="thin">
        <color theme="0"/>
      </left>
      <right/>
      <top style="thick">
        <color theme="0"/>
      </top>
      <bottom style="thick">
        <color theme="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ck">
        <color theme="0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thick">
        <color theme="0"/>
      </bottom>
      <diagonal/>
    </border>
    <border>
      <left style="thin">
        <color theme="0"/>
      </left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86">
    <xf numFmtId="0" fontId="0" fillId="0" borderId="0" xfId="0"/>
    <xf numFmtId="164" fontId="0" fillId="0" borderId="0" xfId="0" applyNumberFormat="1"/>
    <xf numFmtId="164" fontId="0" fillId="0" borderId="0" xfId="0" applyNumberFormat="1" applyAlignment="1">
      <alignment horizontal="center"/>
    </xf>
    <xf numFmtId="49" fontId="3" fillId="0" borderId="2" xfId="0" applyNumberFormat="1" applyFont="1" applyBorder="1" applyAlignment="1">
      <alignment horizontal="left"/>
    </xf>
    <xf numFmtId="0" fontId="3" fillId="0" borderId="2" xfId="0" applyFont="1" applyBorder="1"/>
    <xf numFmtId="0" fontId="3" fillId="0" borderId="2" xfId="0" applyFont="1" applyBorder="1" applyAlignment="1">
      <alignment horizontal="left" vertical="center"/>
    </xf>
    <xf numFmtId="164" fontId="4" fillId="0" borderId="2" xfId="0" applyNumberFormat="1" applyFont="1" applyBorder="1" applyAlignment="1">
      <alignment horizontal="center"/>
    </xf>
    <xf numFmtId="164" fontId="3" fillId="0" borderId="2" xfId="0" applyNumberFormat="1" applyFont="1" applyBorder="1" applyAlignment="1">
      <alignment horizontal="center"/>
    </xf>
    <xf numFmtId="8" fontId="3" fillId="0" borderId="2" xfId="0" applyNumberFormat="1" applyFont="1" applyBorder="1"/>
    <xf numFmtId="0" fontId="3" fillId="0" borderId="3" xfId="0" applyFont="1" applyBorder="1"/>
    <xf numFmtId="49" fontId="3" fillId="0" borderId="0" xfId="0" applyNumberFormat="1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center"/>
    </xf>
    <xf numFmtId="164" fontId="4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8" fontId="3" fillId="0" borderId="0" xfId="0" applyNumberFormat="1" applyFont="1"/>
    <xf numFmtId="0" fontId="3" fillId="0" borderId="4" xfId="0" applyFont="1" applyBorder="1"/>
    <xf numFmtId="0" fontId="5" fillId="0" borderId="4" xfId="0" applyFont="1" applyBorder="1"/>
    <xf numFmtId="0" fontId="3" fillId="0" borderId="4" xfId="0" quotePrefix="1" applyFont="1" applyBorder="1"/>
    <xf numFmtId="49" fontId="4" fillId="0" borderId="0" xfId="0" applyNumberFormat="1" applyFont="1"/>
    <xf numFmtId="0" fontId="4" fillId="0" borderId="0" xfId="0" applyFont="1"/>
    <xf numFmtId="0" fontId="4" fillId="0" borderId="0" xfId="0" applyFont="1" applyAlignment="1">
      <alignment horizontal="left" vertical="center"/>
    </xf>
    <xf numFmtId="0" fontId="4" fillId="0" borderId="4" xfId="0" applyFont="1" applyBorder="1"/>
    <xf numFmtId="49" fontId="3" fillId="0" borderId="0" xfId="0" applyNumberFormat="1" applyFont="1"/>
    <xf numFmtId="0" fontId="0" fillId="0" borderId="4" xfId="0" applyBorder="1"/>
    <xf numFmtId="0" fontId="3" fillId="0" borderId="0" xfId="0" quotePrefix="1" applyFont="1" applyAlignment="1">
      <alignment vertical="top" wrapText="1"/>
    </xf>
    <xf numFmtId="165" fontId="2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49" fontId="1" fillId="2" borderId="5" xfId="0" applyNumberFormat="1" applyFont="1" applyFill="1" applyBorder="1" applyAlignment="1">
      <alignment horizontal="center" wrapText="1"/>
    </xf>
    <xf numFmtId="0" fontId="1" fillId="2" borderId="6" xfId="0" applyFont="1" applyFill="1" applyBorder="1" applyAlignment="1">
      <alignment horizontal="left" wrapText="1"/>
    </xf>
    <xf numFmtId="49" fontId="1" fillId="2" borderId="6" xfId="0" applyNumberFormat="1" applyFont="1" applyFill="1" applyBorder="1" applyAlignment="1">
      <alignment horizontal="center" wrapText="1"/>
    </xf>
    <xf numFmtId="49" fontId="1" fillId="2" borderId="6" xfId="0" applyNumberFormat="1" applyFont="1" applyFill="1" applyBorder="1" applyAlignment="1">
      <alignment horizontal="center" vertical="center" wrapText="1"/>
    </xf>
    <xf numFmtId="165" fontId="1" fillId="2" borderId="6" xfId="0" applyNumberFormat="1" applyFont="1" applyFill="1" applyBorder="1" applyAlignment="1">
      <alignment horizontal="center" wrapText="1"/>
    </xf>
    <xf numFmtId="164" fontId="1" fillId="2" borderId="6" xfId="0" applyNumberFormat="1" applyFont="1" applyFill="1" applyBorder="1" applyAlignment="1">
      <alignment horizontal="center" wrapText="1"/>
    </xf>
    <xf numFmtId="49" fontId="1" fillId="2" borderId="7" xfId="0" applyNumberFormat="1" applyFont="1" applyFill="1" applyBorder="1" applyAlignment="1">
      <alignment horizontal="center" wrapText="1"/>
    </xf>
    <xf numFmtId="49" fontId="1" fillId="2" borderId="8" xfId="0" applyNumberFormat="1" applyFont="1" applyFill="1" applyBorder="1" applyAlignment="1">
      <alignment horizontal="center" wrapText="1"/>
    </xf>
    <xf numFmtId="49" fontId="3" fillId="3" borderId="9" xfId="0" applyNumberFormat="1" applyFont="1" applyFill="1" applyBorder="1"/>
    <xf numFmtId="0" fontId="3" fillId="3" borderId="10" xfId="0" applyFont="1" applyFill="1" applyBorder="1"/>
    <xf numFmtId="0" fontId="3" fillId="3" borderId="10" xfId="0" applyFont="1" applyFill="1" applyBorder="1" applyAlignment="1">
      <alignment horizontal="center"/>
    </xf>
    <xf numFmtId="0" fontId="3" fillId="3" borderId="10" xfId="0" applyFont="1" applyFill="1" applyBorder="1" applyAlignment="1">
      <alignment horizontal="center" vertical="center"/>
    </xf>
    <xf numFmtId="165" fontId="4" fillId="3" borderId="10" xfId="0" applyNumberFormat="1" applyFont="1" applyFill="1" applyBorder="1" applyAlignment="1">
      <alignment horizontal="center"/>
    </xf>
    <xf numFmtId="165" fontId="3" fillId="3" borderId="10" xfId="0" applyNumberFormat="1" applyFont="1" applyFill="1" applyBorder="1" applyAlignment="1">
      <alignment horizontal="center"/>
    </xf>
    <xf numFmtId="8" fontId="3" fillId="3" borderId="10" xfId="0" applyNumberFormat="1" applyFont="1" applyFill="1" applyBorder="1"/>
    <xf numFmtId="49" fontId="3" fillId="0" borderId="11" xfId="0" applyNumberFormat="1" applyFont="1" applyBorder="1"/>
    <xf numFmtId="0" fontId="3" fillId="0" borderId="12" xfId="0" applyFont="1" applyBorder="1"/>
    <xf numFmtId="0" fontId="3" fillId="0" borderId="12" xfId="0" applyFont="1" applyBorder="1" applyAlignment="1">
      <alignment horizontal="center"/>
    </xf>
    <xf numFmtId="0" fontId="3" fillId="0" borderId="12" xfId="0" applyFont="1" applyBorder="1" applyAlignment="1">
      <alignment horizontal="center" vertical="center"/>
    </xf>
    <xf numFmtId="165" fontId="4" fillId="0" borderId="12" xfId="0" applyNumberFormat="1" applyFont="1" applyBorder="1" applyAlignment="1">
      <alignment horizontal="center"/>
    </xf>
    <xf numFmtId="165" fontId="3" fillId="0" borderId="12" xfId="0" applyNumberFormat="1" applyFont="1" applyBorder="1" applyAlignment="1">
      <alignment horizontal="center"/>
    </xf>
    <xf numFmtId="8" fontId="3" fillId="0" borderId="12" xfId="0" applyNumberFormat="1" applyFont="1" applyBorder="1"/>
    <xf numFmtId="49" fontId="3" fillId="0" borderId="9" xfId="0" applyNumberFormat="1" applyFont="1" applyBorder="1"/>
    <xf numFmtId="0" fontId="3" fillId="0" borderId="10" xfId="0" applyFont="1" applyBorder="1"/>
    <xf numFmtId="0" fontId="3" fillId="0" borderId="10" xfId="0" applyFont="1" applyBorder="1" applyAlignment="1">
      <alignment horizontal="center"/>
    </xf>
    <xf numFmtId="0" fontId="3" fillId="0" borderId="10" xfId="0" applyFont="1" applyBorder="1" applyAlignment="1">
      <alignment horizontal="center" vertical="center"/>
    </xf>
    <xf numFmtId="165" fontId="4" fillId="0" borderId="10" xfId="0" applyNumberFormat="1" applyFont="1" applyBorder="1" applyAlignment="1">
      <alignment horizontal="center"/>
    </xf>
    <xf numFmtId="165" fontId="3" fillId="0" borderId="10" xfId="0" applyNumberFormat="1" applyFont="1" applyBorder="1" applyAlignment="1">
      <alignment horizontal="center"/>
    </xf>
    <xf numFmtId="8" fontId="3" fillId="0" borderId="10" xfId="0" applyNumberFormat="1" applyFont="1" applyBorder="1"/>
    <xf numFmtId="49" fontId="3" fillId="3" borderId="11" xfId="0" applyNumberFormat="1" applyFont="1" applyFill="1" applyBorder="1"/>
    <xf numFmtId="0" fontId="3" fillId="3" borderId="12" xfId="0" applyFont="1" applyFill="1" applyBorder="1"/>
    <xf numFmtId="0" fontId="3" fillId="3" borderId="12" xfId="0" applyFont="1" applyFill="1" applyBorder="1" applyAlignment="1">
      <alignment horizontal="center"/>
    </xf>
    <xf numFmtId="0" fontId="3" fillId="3" borderId="12" xfId="0" applyFont="1" applyFill="1" applyBorder="1" applyAlignment="1">
      <alignment horizontal="center" vertical="center"/>
    </xf>
    <xf numFmtId="165" fontId="4" fillId="3" borderId="12" xfId="0" applyNumberFormat="1" applyFont="1" applyFill="1" applyBorder="1" applyAlignment="1">
      <alignment horizontal="center"/>
    </xf>
    <xf numFmtId="165" fontId="3" fillId="3" borderId="12" xfId="0" applyNumberFormat="1" applyFont="1" applyFill="1" applyBorder="1" applyAlignment="1">
      <alignment horizontal="center"/>
    </xf>
    <xf numFmtId="8" fontId="3" fillId="3" borderId="12" xfId="0" applyNumberFormat="1" applyFont="1" applyFill="1" applyBorder="1"/>
    <xf numFmtId="0" fontId="3" fillId="0" borderId="10" xfId="0" applyFont="1" applyBorder="1" applyAlignment="1">
      <alignment horizontal="left"/>
    </xf>
    <xf numFmtId="0" fontId="3" fillId="0" borderId="13" xfId="0" applyFont="1" applyBorder="1"/>
    <xf numFmtId="0" fontId="3" fillId="3" borderId="10" xfId="0" applyFont="1" applyFill="1" applyBorder="1" applyAlignment="1">
      <alignment horizontal="left"/>
    </xf>
    <xf numFmtId="0" fontId="3" fillId="3" borderId="13" xfId="0" applyFont="1" applyFill="1" applyBorder="1"/>
    <xf numFmtId="49" fontId="3" fillId="3" borderId="14" xfId="0" applyNumberFormat="1" applyFont="1" applyFill="1" applyBorder="1"/>
    <xf numFmtId="0" fontId="3" fillId="3" borderId="15" xfId="0" applyFont="1" applyFill="1" applyBorder="1"/>
    <xf numFmtId="0" fontId="3" fillId="3" borderId="16" xfId="0" applyFont="1" applyFill="1" applyBorder="1"/>
    <xf numFmtId="0" fontId="3" fillId="3" borderId="16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 vertical="center"/>
    </xf>
    <xf numFmtId="165" fontId="4" fillId="3" borderId="16" xfId="0" applyNumberFormat="1" applyFont="1" applyFill="1" applyBorder="1" applyAlignment="1">
      <alignment horizontal="center"/>
    </xf>
    <xf numFmtId="165" fontId="3" fillId="3" borderId="16" xfId="0" applyNumberFormat="1" applyFont="1" applyFill="1" applyBorder="1" applyAlignment="1">
      <alignment horizontal="center"/>
    </xf>
    <xf numFmtId="8" fontId="3" fillId="3" borderId="16" xfId="0" applyNumberFormat="1" applyFont="1" applyFill="1" applyBorder="1"/>
    <xf numFmtId="49" fontId="1" fillId="2" borderId="17" xfId="0" applyNumberFormat="1" applyFont="1" applyFill="1" applyBorder="1" applyAlignment="1">
      <alignment horizontal="center" wrapText="1"/>
    </xf>
    <xf numFmtId="49" fontId="3" fillId="3" borderId="18" xfId="0" applyNumberFormat="1" applyFont="1" applyFill="1" applyBorder="1"/>
    <xf numFmtId="49" fontId="3" fillId="0" borderId="13" xfId="0" applyNumberFormat="1" applyFont="1" applyBorder="1"/>
    <xf numFmtId="49" fontId="3" fillId="0" borderId="18" xfId="0" applyNumberFormat="1" applyFont="1" applyBorder="1"/>
    <xf numFmtId="49" fontId="3" fillId="3" borderId="13" xfId="0" applyNumberFormat="1" applyFont="1" applyFill="1" applyBorder="1"/>
    <xf numFmtId="49" fontId="3" fillId="3" borderId="19" xfId="0" applyNumberFormat="1" applyFont="1" applyFill="1" applyBorder="1"/>
    <xf numFmtId="49" fontId="3" fillId="0" borderId="19" xfId="0" applyNumberFormat="1" applyFont="1" applyBorder="1"/>
    <xf numFmtId="49" fontId="3" fillId="3" borderId="20" xfId="0" applyNumberFormat="1" applyFont="1" applyFill="1" applyBorder="1"/>
    <xf numFmtId="0" fontId="3" fillId="0" borderId="21" xfId="0" applyFont="1" applyBorder="1"/>
    <xf numFmtId="0" fontId="3" fillId="3" borderId="21" xfId="0" applyFont="1" applyFill="1" applyBorder="1"/>
  </cellXfs>
  <cellStyles count="1">
    <cellStyle name="Normal" xfId="0" builtinId="0"/>
  </cellStyles>
  <dxfs count="21">
    <dxf>
      <font>
        <b/>
        <i val="0"/>
        <color theme="9" tint="-0.24994659260841701"/>
      </font>
    </dxf>
    <dxf>
      <font>
        <b/>
        <i val="0"/>
        <color rgb="FFC00000"/>
      </font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39994506668294322"/>
        </patternFill>
      </fill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ill>
        <patternFill>
          <bgColor theme="6" tint="0.3999450666829432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vry94fr.sharepoint.com/sites/DSI/Documents%20partages/Administratif/Suivi/SUIVI%20BUDGETAIRE%202026.xlsx" TargetMode="External"/><Relationship Id="rId1" Type="http://schemas.openxmlformats.org/officeDocument/2006/relationships/externalLinkPath" Target="https://ivry94fr.sharepoint.com/sites/DSI/Documents%20partages/Administratif/Suivi/SUIVI%20BUDGETAI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 INV"/>
      <sheetName val="OPE FON"/>
      <sheetName val="COMMANDES"/>
      <sheetName val="COMMANDES  M-1"/>
      <sheetName val="IMPUTATIONS"/>
      <sheetName val="INV-FON"/>
      <sheetName val="Feuil1"/>
      <sheetName val="Projets en cours"/>
      <sheetName val="Analyse"/>
      <sheetName val="zzS-NAT"/>
      <sheetName val="BUDGET"/>
      <sheetName val="DATA"/>
    </sheetNames>
    <sheetDataSet>
      <sheetData sheetId="0">
        <row r="6">
          <cell r="J6">
            <v>17500</v>
          </cell>
          <cell r="K6">
            <v>0</v>
          </cell>
          <cell r="L6" t="str">
            <v>NON</v>
          </cell>
        </row>
        <row r="7">
          <cell r="J7">
            <v>10000</v>
          </cell>
          <cell r="K7">
            <v>0</v>
          </cell>
          <cell r="L7" t="str">
            <v>NON</v>
          </cell>
        </row>
        <row r="8">
          <cell r="J8">
            <v>10000</v>
          </cell>
          <cell r="K8">
            <v>0</v>
          </cell>
          <cell r="L8" t="str">
            <v>NON</v>
          </cell>
        </row>
        <row r="9">
          <cell r="J9">
            <v>3500</v>
          </cell>
          <cell r="K9">
            <v>0</v>
          </cell>
          <cell r="L9" t="str">
            <v>NON</v>
          </cell>
        </row>
        <row r="10">
          <cell r="J10">
            <v>0</v>
          </cell>
          <cell r="K10">
            <v>0</v>
          </cell>
          <cell r="L10" t="str">
            <v>NON</v>
          </cell>
        </row>
        <row r="11">
          <cell r="J11">
            <v>20000</v>
          </cell>
          <cell r="K11">
            <v>0</v>
          </cell>
          <cell r="L11" t="str">
            <v>NON</v>
          </cell>
        </row>
        <row r="12">
          <cell r="J12">
            <v>300000</v>
          </cell>
          <cell r="K12">
            <v>289830</v>
          </cell>
          <cell r="L12" t="str">
            <v>NON</v>
          </cell>
        </row>
        <row r="13">
          <cell r="J13">
            <v>7800</v>
          </cell>
          <cell r="K13">
            <v>2934</v>
          </cell>
          <cell r="L13" t="str">
            <v>NON</v>
          </cell>
        </row>
        <row r="14">
          <cell r="J14">
            <v>30000</v>
          </cell>
          <cell r="K14">
            <v>30060</v>
          </cell>
          <cell r="L14" t="str">
            <v>NON</v>
          </cell>
        </row>
        <row r="15">
          <cell r="J15">
            <v>31200</v>
          </cell>
          <cell r="K15">
            <v>26706.53</v>
          </cell>
          <cell r="L15" t="str">
            <v>NON</v>
          </cell>
        </row>
        <row r="16">
          <cell r="J16">
            <v>0</v>
          </cell>
          <cell r="K16">
            <v>0</v>
          </cell>
          <cell r="L16" t="str">
            <v>NON</v>
          </cell>
        </row>
        <row r="17">
          <cell r="J17">
            <v>33000</v>
          </cell>
          <cell r="K17">
            <v>0</v>
          </cell>
          <cell r="L17" t="str">
            <v>NON</v>
          </cell>
        </row>
        <row r="21">
          <cell r="J21">
            <v>70000</v>
          </cell>
          <cell r="K21">
            <v>0</v>
          </cell>
          <cell r="L21" t="str">
            <v>NON</v>
          </cell>
        </row>
        <row r="22">
          <cell r="J22">
            <v>15000</v>
          </cell>
          <cell r="K22">
            <v>0</v>
          </cell>
          <cell r="L22" t="str">
            <v>NON</v>
          </cell>
        </row>
        <row r="23">
          <cell r="J23">
            <v>15000</v>
          </cell>
          <cell r="K23">
            <v>0</v>
          </cell>
          <cell r="L23" t="str">
            <v>NON</v>
          </cell>
        </row>
        <row r="24">
          <cell r="J24">
            <v>15000</v>
          </cell>
          <cell r="K24">
            <v>0</v>
          </cell>
          <cell r="L24" t="str">
            <v>NON</v>
          </cell>
        </row>
        <row r="25">
          <cell r="J25">
            <v>0</v>
          </cell>
          <cell r="L25" t="str">
            <v>NON</v>
          </cell>
        </row>
        <row r="26">
          <cell r="J26">
            <v>50000</v>
          </cell>
          <cell r="K26">
            <v>0</v>
          </cell>
          <cell r="L26" t="str">
            <v>NON</v>
          </cell>
        </row>
        <row r="27">
          <cell r="J27">
            <v>50000</v>
          </cell>
          <cell r="K27">
            <v>0</v>
          </cell>
          <cell r="L27" t="str">
            <v>NON</v>
          </cell>
        </row>
        <row r="28">
          <cell r="J28">
            <v>30000</v>
          </cell>
          <cell r="K28">
            <v>0</v>
          </cell>
          <cell r="L28" t="str">
            <v>NON</v>
          </cell>
        </row>
        <row r="29">
          <cell r="J29">
            <v>0</v>
          </cell>
          <cell r="K29">
            <v>0</v>
          </cell>
          <cell r="L29" t="str">
            <v>NON</v>
          </cell>
        </row>
        <row r="32">
          <cell r="J32">
            <v>30000</v>
          </cell>
          <cell r="K32">
            <v>976.72</v>
          </cell>
          <cell r="L32" t="str">
            <v>NON</v>
          </cell>
        </row>
        <row r="33">
          <cell r="J33">
            <v>30000</v>
          </cell>
          <cell r="K33">
            <v>0</v>
          </cell>
          <cell r="L33" t="str">
            <v>NON</v>
          </cell>
        </row>
        <row r="34">
          <cell r="J34">
            <v>0</v>
          </cell>
          <cell r="K34">
            <v>0</v>
          </cell>
          <cell r="L34" t="str">
            <v>NON</v>
          </cell>
        </row>
        <row r="35">
          <cell r="J35">
            <v>150000</v>
          </cell>
          <cell r="K35">
            <v>0</v>
          </cell>
          <cell r="L35" t="str">
            <v>NON</v>
          </cell>
        </row>
        <row r="36">
          <cell r="J36">
            <v>5000</v>
          </cell>
          <cell r="K36">
            <v>0</v>
          </cell>
          <cell r="L36" t="str">
            <v>NON</v>
          </cell>
        </row>
        <row r="37">
          <cell r="J37">
            <v>5000</v>
          </cell>
          <cell r="K37">
            <v>0</v>
          </cell>
          <cell r="L37" t="str">
            <v>NON</v>
          </cell>
        </row>
        <row r="38">
          <cell r="J38">
            <v>20000</v>
          </cell>
          <cell r="K38">
            <v>0</v>
          </cell>
          <cell r="L38" t="str">
            <v>NON</v>
          </cell>
        </row>
        <row r="39">
          <cell r="J39">
            <v>50000</v>
          </cell>
          <cell r="K39">
            <v>0</v>
          </cell>
          <cell r="L39" t="str">
            <v>NON</v>
          </cell>
        </row>
        <row r="40">
          <cell r="J40">
            <v>50000</v>
          </cell>
          <cell r="K40">
            <v>0</v>
          </cell>
          <cell r="L40" t="str">
            <v>NON</v>
          </cell>
        </row>
        <row r="42">
          <cell r="J42">
            <v>-65000</v>
          </cell>
          <cell r="K42">
            <v>0</v>
          </cell>
          <cell r="L42" t="str">
            <v>NON</v>
          </cell>
        </row>
        <row r="44">
          <cell r="J44">
            <v>35000</v>
          </cell>
          <cell r="K44">
            <v>0</v>
          </cell>
          <cell r="L44" t="str">
            <v>NON</v>
          </cell>
        </row>
        <row r="45">
          <cell r="J45">
            <v>40000</v>
          </cell>
          <cell r="K45">
            <v>0</v>
          </cell>
          <cell r="L45" t="str">
            <v>NON</v>
          </cell>
        </row>
        <row r="46">
          <cell r="J46">
            <v>20000</v>
          </cell>
          <cell r="K46">
            <v>0</v>
          </cell>
          <cell r="L46" t="str">
            <v>NON</v>
          </cell>
        </row>
        <row r="47">
          <cell r="J47">
            <v>30000</v>
          </cell>
          <cell r="K47">
            <v>0</v>
          </cell>
          <cell r="L47" t="str">
            <v>NON</v>
          </cell>
        </row>
        <row r="48">
          <cell r="J48">
            <v>15000</v>
          </cell>
          <cell r="K48">
            <v>0</v>
          </cell>
          <cell r="L48" t="str">
            <v>NON</v>
          </cell>
        </row>
        <row r="50">
          <cell r="J50">
            <v>15000</v>
          </cell>
          <cell r="K50">
            <v>0</v>
          </cell>
          <cell r="L50" t="str">
            <v>NON</v>
          </cell>
        </row>
        <row r="52">
          <cell r="J52">
            <v>20000</v>
          </cell>
          <cell r="K52">
            <v>25817.26</v>
          </cell>
          <cell r="L52" t="str">
            <v>NON</v>
          </cell>
        </row>
        <row r="54">
          <cell r="J54">
            <v>15000</v>
          </cell>
          <cell r="K54">
            <v>0</v>
          </cell>
          <cell r="L54" t="str">
            <v>NON</v>
          </cell>
        </row>
      </sheetData>
      <sheetData sheetId="1">
        <row r="54">
          <cell r="G54">
            <v>162000</v>
          </cell>
          <cell r="H54">
            <v>45539.989999999991</v>
          </cell>
        </row>
        <row r="55">
          <cell r="G55">
            <v>200</v>
          </cell>
          <cell r="H55">
            <v>0</v>
          </cell>
        </row>
        <row r="56">
          <cell r="G56">
            <v>2300</v>
          </cell>
          <cell r="H56">
            <v>0</v>
          </cell>
        </row>
        <row r="58">
          <cell r="G58">
            <v>20000</v>
          </cell>
          <cell r="H58">
            <v>3254.8999999999996</v>
          </cell>
        </row>
        <row r="59">
          <cell r="G59">
            <v>62000</v>
          </cell>
          <cell r="H59">
            <v>1659.83</v>
          </cell>
        </row>
        <row r="60">
          <cell r="G60">
            <v>1000</v>
          </cell>
          <cell r="H60">
            <v>0</v>
          </cell>
        </row>
        <row r="61">
          <cell r="G61">
            <v>10000</v>
          </cell>
          <cell r="H61">
            <v>0</v>
          </cell>
        </row>
        <row r="62">
          <cell r="G62">
            <v>0</v>
          </cell>
          <cell r="H62">
            <v>0</v>
          </cell>
        </row>
        <row r="63">
          <cell r="G63">
            <v>9000</v>
          </cell>
          <cell r="H63">
            <v>0</v>
          </cell>
        </row>
        <row r="64">
          <cell r="G64">
            <v>3500</v>
          </cell>
          <cell r="H64">
            <v>0</v>
          </cell>
        </row>
        <row r="65">
          <cell r="G65">
            <v>35000</v>
          </cell>
          <cell r="H65">
            <v>0</v>
          </cell>
        </row>
        <row r="66">
          <cell r="G66">
            <v>5000</v>
          </cell>
          <cell r="H66">
            <v>0</v>
          </cell>
        </row>
        <row r="67">
          <cell r="G67">
            <v>1526500</v>
          </cell>
          <cell r="H67">
            <v>253903.88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1FAF8-4A63-4F9C-8AE1-1C3581B6B877}">
  <dimension ref="A1:N110"/>
  <sheetViews>
    <sheetView tabSelected="1" workbookViewId="0">
      <selection activeCell="F1" sqref="F1"/>
    </sheetView>
  </sheetViews>
  <sheetFormatPr baseColWidth="10" defaultRowHeight="14.4" x14ac:dyDescent="0.3"/>
  <cols>
    <col min="1" max="2" width="7.77734375" customWidth="1"/>
    <col min="3" max="3" width="31" customWidth="1"/>
    <col min="4" max="4" width="36.44140625" customWidth="1"/>
    <col min="5" max="5" width="29.88671875" customWidth="1"/>
    <col min="6" max="6" width="11.6640625" customWidth="1"/>
    <col min="7" max="7" width="9.44140625" customWidth="1"/>
    <col min="8" max="8" width="19" customWidth="1"/>
    <col min="9" max="9" width="13.21875" customWidth="1"/>
    <col min="10" max="10" width="16.88671875" style="2" customWidth="1"/>
    <col min="11" max="11" width="14.77734375" style="1" customWidth="1"/>
    <col min="12" max="12" width="14.5546875" bestFit="1" customWidth="1"/>
    <col min="13" max="13" width="14.5546875" customWidth="1"/>
    <col min="14" max="14" width="36.88671875" customWidth="1"/>
  </cols>
  <sheetData>
    <row r="1" spans="1:14" ht="76.8" x14ac:dyDescent="0.45">
      <c r="A1" s="28" t="s">
        <v>173</v>
      </c>
      <c r="B1" s="76" t="s">
        <v>174</v>
      </c>
      <c r="C1" s="29" t="s">
        <v>177</v>
      </c>
      <c r="D1" s="30" t="s">
        <v>0</v>
      </c>
      <c r="E1" s="30" t="s">
        <v>1</v>
      </c>
      <c r="F1" s="30" t="s">
        <v>2</v>
      </c>
      <c r="G1" s="31" t="s">
        <v>67</v>
      </c>
      <c r="H1" s="32" t="s">
        <v>3</v>
      </c>
      <c r="I1" s="33"/>
      <c r="J1" s="34" t="s">
        <v>4</v>
      </c>
      <c r="K1" s="35" t="s">
        <v>5</v>
      </c>
      <c r="L1" s="34" t="s">
        <v>6</v>
      </c>
      <c r="M1" s="8" t="str">
        <f>IF(OR('[1]OPE INV'!$L6="oui", '[1]OPE INV'!$L6="Annulé"),'[1]OPE INV'!$J6-'[1]OPE INV'!$K6,"")</f>
        <v/>
      </c>
      <c r="N1" s="9"/>
    </row>
    <row r="2" spans="1:14" ht="19.2" x14ac:dyDescent="0.45">
      <c r="A2" s="3" t="s">
        <v>15</v>
      </c>
      <c r="B2" s="3" t="s">
        <v>176</v>
      </c>
      <c r="C2" s="4" t="s">
        <v>7</v>
      </c>
      <c r="D2" s="4"/>
      <c r="E2" s="4" t="s">
        <v>8</v>
      </c>
      <c r="F2" s="4">
        <v>213</v>
      </c>
      <c r="G2" s="5">
        <v>21831</v>
      </c>
      <c r="H2" s="6">
        <v>17500</v>
      </c>
      <c r="I2" s="7"/>
      <c r="J2" s="4" t="s">
        <v>9</v>
      </c>
      <c r="K2" s="15" t="str">
        <f>IF(OR('[1]OPE INV'!$L7="oui", '[1]OPE INV'!$L7="Annulé"),'[1]OPE INV'!$J7-'[1]OPE INV'!$K7,"")</f>
        <v/>
      </c>
      <c r="L2" s="16"/>
    </row>
    <row r="3" spans="1:14" ht="19.2" x14ac:dyDescent="0.45">
      <c r="A3" s="3" t="s">
        <v>15</v>
      </c>
      <c r="B3" s="10" t="s">
        <v>176</v>
      </c>
      <c r="C3" s="11" t="s">
        <v>10</v>
      </c>
      <c r="D3" s="11"/>
      <c r="E3" s="11" t="s">
        <v>8</v>
      </c>
      <c r="F3" s="11">
        <v>213</v>
      </c>
      <c r="G3" s="12">
        <v>21831</v>
      </c>
      <c r="H3" s="13">
        <v>10000</v>
      </c>
      <c r="I3" s="14"/>
      <c r="J3" s="11" t="s">
        <v>9</v>
      </c>
      <c r="K3" s="15" t="str">
        <f>IF(OR('[1]OPE INV'!$L8="oui", '[1]OPE INV'!$L8="Annulé"),'[1]OPE INV'!$J8-'[1]OPE INV'!$K8,"")</f>
        <v/>
      </c>
      <c r="L3" s="16"/>
    </row>
    <row r="4" spans="1:14" ht="19.2" x14ac:dyDescent="0.45">
      <c r="A4" s="3" t="s">
        <v>15</v>
      </c>
      <c r="B4" s="10" t="s">
        <v>176</v>
      </c>
      <c r="C4" s="11" t="s">
        <v>11</v>
      </c>
      <c r="D4" s="11"/>
      <c r="E4" s="11" t="s">
        <v>8</v>
      </c>
      <c r="F4" s="11">
        <v>213</v>
      </c>
      <c r="G4" s="12">
        <v>21831</v>
      </c>
      <c r="H4" s="13">
        <v>10000</v>
      </c>
      <c r="I4" s="14"/>
      <c r="J4" s="11" t="s">
        <v>9</v>
      </c>
      <c r="K4" s="15" t="str">
        <f>IF(OR('[1]OPE INV'!$L9="oui", '[1]OPE INV'!$L9="Annulé"),'[1]OPE INV'!$J9-'[1]OPE INV'!$K9,"")</f>
        <v/>
      </c>
      <c r="L4" s="16"/>
    </row>
    <row r="5" spans="1:14" ht="19.2" x14ac:dyDescent="0.45">
      <c r="A5" s="10" t="s">
        <v>12</v>
      </c>
      <c r="B5" s="10"/>
      <c r="C5" s="11" t="s">
        <v>13</v>
      </c>
      <c r="D5" s="11"/>
      <c r="E5" s="11" t="s">
        <v>8</v>
      </c>
      <c r="F5" s="11">
        <v>213</v>
      </c>
      <c r="G5" s="12">
        <v>21533</v>
      </c>
      <c r="H5" s="13">
        <v>3500</v>
      </c>
      <c r="I5" s="14"/>
      <c r="J5" s="11" t="s">
        <v>9</v>
      </c>
      <c r="K5" s="15" t="str">
        <f>IF(OR('[1]OPE INV'!$L10="oui", '[1]OPE INV'!$L10="Annulé"),'[1]OPE INV'!$J10-'[1]OPE INV'!$K10,"")</f>
        <v/>
      </c>
      <c r="L5" s="16"/>
    </row>
    <row r="6" spans="1:14" ht="19.2" x14ac:dyDescent="0.45">
      <c r="A6" s="10" t="s">
        <v>15</v>
      </c>
      <c r="B6" s="10" t="s">
        <v>175</v>
      </c>
      <c r="C6" s="11" t="s">
        <v>14</v>
      </c>
      <c r="D6" s="11"/>
      <c r="E6" s="11" t="s">
        <v>8</v>
      </c>
      <c r="F6" s="11">
        <v>20</v>
      </c>
      <c r="G6" s="12">
        <v>2051</v>
      </c>
      <c r="H6" s="13">
        <v>0</v>
      </c>
      <c r="I6" s="14"/>
      <c r="J6" s="11" t="s">
        <v>9</v>
      </c>
      <c r="K6" s="15" t="str">
        <f>IF(OR('[1]OPE INV'!$L11="oui", '[1]OPE INV'!$L11="Annulé"),'[1]OPE INV'!$J11-'[1]OPE INV'!$K11,"")</f>
        <v/>
      </c>
      <c r="L6" s="16"/>
    </row>
    <row r="7" spans="1:14" ht="19.2" x14ac:dyDescent="0.45">
      <c r="A7" s="10" t="s">
        <v>15</v>
      </c>
      <c r="B7" s="10"/>
      <c r="C7" s="11" t="s">
        <v>16</v>
      </c>
      <c r="D7" s="11"/>
      <c r="E7" s="11" t="s">
        <v>8</v>
      </c>
      <c r="F7" s="11">
        <v>20</v>
      </c>
      <c r="G7" s="12">
        <v>21848</v>
      </c>
      <c r="H7" s="14">
        <v>20000</v>
      </c>
      <c r="I7" s="14"/>
      <c r="J7" s="11" t="s">
        <v>9</v>
      </c>
      <c r="K7" s="15" t="str">
        <f>IF(OR('[1]OPE INV'!$L12="oui", '[1]OPE INV'!$L12="Annulé"),'[1]OPE INV'!$J12-'[1]OPE INV'!$K12,"")</f>
        <v/>
      </c>
      <c r="L7" s="16"/>
    </row>
    <row r="8" spans="1:14" ht="19.2" x14ac:dyDescent="0.45">
      <c r="A8" s="10" t="s">
        <v>15</v>
      </c>
      <c r="B8" s="10"/>
      <c r="C8" s="11" t="s">
        <v>17</v>
      </c>
      <c r="D8" s="11"/>
      <c r="E8" s="11" t="s">
        <v>8</v>
      </c>
      <c r="F8" s="11">
        <v>20</v>
      </c>
      <c r="G8" s="12">
        <v>2051</v>
      </c>
      <c r="H8" s="13">
        <v>300000</v>
      </c>
      <c r="I8" s="14"/>
      <c r="J8" s="11" t="s">
        <v>9</v>
      </c>
      <c r="K8" s="15" t="str">
        <f>IF(OR('[1]OPE INV'!$L13="oui", '[1]OPE INV'!$L13="Annulé"),'[1]OPE INV'!$J13-'[1]OPE INV'!$K13,"")</f>
        <v/>
      </c>
      <c r="L8" s="16"/>
    </row>
    <row r="9" spans="1:14" ht="19.2" x14ac:dyDescent="0.45">
      <c r="A9" s="10" t="s">
        <v>15</v>
      </c>
      <c r="B9" s="10"/>
      <c r="C9" s="11" t="s">
        <v>18</v>
      </c>
      <c r="D9" s="11"/>
      <c r="E9" s="11" t="s">
        <v>8</v>
      </c>
      <c r="F9" s="11">
        <v>20</v>
      </c>
      <c r="G9" s="12">
        <v>2051</v>
      </c>
      <c r="H9" s="13">
        <v>7800</v>
      </c>
      <c r="I9" s="14"/>
      <c r="J9" s="11" t="s">
        <v>9</v>
      </c>
      <c r="K9" s="15" t="str">
        <f>IF(OR('[1]OPE INV'!$L14="oui", '[1]OPE INV'!$L14="Annulé"),'[1]OPE INV'!$J14-'[1]OPE INV'!$K14,"")</f>
        <v/>
      </c>
      <c r="L9" s="16"/>
    </row>
    <row r="10" spans="1:14" ht="19.2" x14ac:dyDescent="0.45">
      <c r="A10" s="10" t="s">
        <v>15</v>
      </c>
      <c r="B10" s="10" t="s">
        <v>175</v>
      </c>
      <c r="C10" s="11" t="s">
        <v>19</v>
      </c>
      <c r="D10" s="11" t="s">
        <v>20</v>
      </c>
      <c r="E10" s="11" t="s">
        <v>8</v>
      </c>
      <c r="F10" s="11">
        <v>20</v>
      </c>
      <c r="G10" s="12">
        <v>2051</v>
      </c>
      <c r="H10" s="13">
        <v>30000</v>
      </c>
      <c r="I10" s="14"/>
      <c r="J10" s="11" t="s">
        <v>9</v>
      </c>
      <c r="K10" s="15" t="str">
        <f>IF(OR('[1]OPE INV'!$L15="oui", '[1]OPE INV'!$L15="Annulé"),'[1]OPE INV'!$J15-'[1]OPE INV'!$K15,"")</f>
        <v/>
      </c>
      <c r="L10" s="16"/>
    </row>
    <row r="11" spans="1:14" ht="19.2" x14ac:dyDescent="0.45">
      <c r="A11" s="10" t="s">
        <v>15</v>
      </c>
      <c r="B11" s="10" t="s">
        <v>175</v>
      </c>
      <c r="C11" s="11" t="s">
        <v>21</v>
      </c>
      <c r="D11" s="11" t="s">
        <v>20</v>
      </c>
      <c r="E11" s="11" t="s">
        <v>8</v>
      </c>
      <c r="F11" s="11">
        <v>20</v>
      </c>
      <c r="G11" s="12">
        <v>2051</v>
      </c>
      <c r="H11" s="13">
        <v>31200</v>
      </c>
      <c r="I11" s="14"/>
      <c r="J11" s="11" t="s">
        <v>9</v>
      </c>
      <c r="K11" s="15" t="str">
        <f>IF(OR('[1]OPE INV'!$L16="oui", '[1]OPE INV'!$L16="Annulé"),'[1]OPE INV'!$J16-'[1]OPE INV'!$K16,"")</f>
        <v/>
      </c>
      <c r="L11" s="16"/>
    </row>
    <row r="12" spans="1:14" ht="19.2" x14ac:dyDescent="0.45">
      <c r="A12" s="10" t="s">
        <v>15</v>
      </c>
      <c r="B12" s="10" t="s">
        <v>175</v>
      </c>
      <c r="C12" s="11" t="s">
        <v>22</v>
      </c>
      <c r="D12" s="11" t="s">
        <v>23</v>
      </c>
      <c r="E12" s="11" t="s">
        <v>8</v>
      </c>
      <c r="F12" s="11">
        <v>20</v>
      </c>
      <c r="G12" s="12">
        <v>2051</v>
      </c>
      <c r="H12" s="13">
        <v>0</v>
      </c>
      <c r="I12" s="14"/>
      <c r="J12" s="11" t="s">
        <v>9</v>
      </c>
      <c r="K12" s="15" t="str">
        <f>IF(OR('[1]OPE INV'!$L17="oui", '[1]OPE INV'!$L17="Annulé"),'[1]OPE INV'!$J17-'[1]OPE INV'!$K17,"")</f>
        <v/>
      </c>
      <c r="L12" s="16"/>
    </row>
    <row r="13" spans="1:14" ht="19.2" x14ac:dyDescent="0.45">
      <c r="A13" s="10" t="s">
        <v>15</v>
      </c>
      <c r="B13" s="10"/>
      <c r="C13" s="11" t="s">
        <v>24</v>
      </c>
      <c r="D13" s="11"/>
      <c r="E13" s="11" t="s">
        <v>25</v>
      </c>
      <c r="F13" s="11">
        <v>20</v>
      </c>
      <c r="G13" s="12">
        <v>21838</v>
      </c>
      <c r="H13" s="14">
        <v>33000</v>
      </c>
      <c r="I13" s="14"/>
      <c r="J13" s="11" t="s">
        <v>9</v>
      </c>
      <c r="K13" s="15"/>
      <c r="L13" s="16"/>
    </row>
    <row r="14" spans="1:14" ht="19.2" x14ac:dyDescent="0.45">
      <c r="A14" s="10" t="s">
        <v>12</v>
      </c>
      <c r="B14" s="10"/>
      <c r="C14" s="11" t="s">
        <v>26</v>
      </c>
      <c r="D14" s="11"/>
      <c r="E14" s="11" t="s">
        <v>8</v>
      </c>
      <c r="F14" s="11">
        <v>20</v>
      </c>
      <c r="G14" s="12">
        <v>2051</v>
      </c>
      <c r="H14" s="14">
        <v>5000</v>
      </c>
      <c r="I14" s="14"/>
      <c r="J14" s="11" t="s">
        <v>9</v>
      </c>
      <c r="K14" s="15" t="str">
        <f>IF(OR('[1]OPE INV'!$L21="oui", '[1]OPE INV'!$L21="Annulé"),'[1]OPE INV'!$J21-'[1]OPE INV'!$K21,"")</f>
        <v/>
      </c>
      <c r="L14" s="16"/>
    </row>
    <row r="15" spans="1:14" ht="19.2" x14ac:dyDescent="0.45">
      <c r="A15" s="10" t="s">
        <v>12</v>
      </c>
      <c r="B15" s="10"/>
      <c r="C15" s="11" t="s">
        <v>27</v>
      </c>
      <c r="D15" s="11"/>
      <c r="E15" s="11" t="s">
        <v>8</v>
      </c>
      <c r="F15" s="11">
        <v>20</v>
      </c>
      <c r="G15" s="12">
        <v>21533</v>
      </c>
      <c r="H15" s="14">
        <v>70000</v>
      </c>
      <c r="I15" s="14"/>
      <c r="J15" s="11" t="s">
        <v>9</v>
      </c>
      <c r="K15" s="15" t="str">
        <f>IF(OR('[1]OPE INV'!$L22="oui", '[1]OPE INV'!$L22="Annulé"),'[1]OPE INV'!$J22-'[1]OPE INV'!$K22,"")</f>
        <v/>
      </c>
      <c r="L15" s="17"/>
    </row>
    <row r="16" spans="1:14" ht="19.2" x14ac:dyDescent="0.45">
      <c r="A16" s="10" t="s">
        <v>12</v>
      </c>
      <c r="B16" s="10"/>
      <c r="C16" s="11" t="s">
        <v>28</v>
      </c>
      <c r="D16" s="11"/>
      <c r="E16" s="11" t="s">
        <v>8</v>
      </c>
      <c r="F16" s="11">
        <v>20</v>
      </c>
      <c r="G16" s="12">
        <v>21838</v>
      </c>
      <c r="H16" s="14">
        <v>15000</v>
      </c>
      <c r="I16" s="14"/>
      <c r="J16" s="11" t="s">
        <v>9</v>
      </c>
      <c r="K16" s="15" t="str">
        <f>IF(OR('[1]OPE INV'!$L23="oui", '[1]OPE INV'!$L23="Annulé"),'[1]OPE INV'!$J23-'[1]OPE INV'!$K23,"")</f>
        <v/>
      </c>
      <c r="L16" s="18"/>
    </row>
    <row r="17" spans="1:12" ht="19.2" x14ac:dyDescent="0.45">
      <c r="A17" s="10" t="s">
        <v>12</v>
      </c>
      <c r="B17" s="10"/>
      <c r="C17" s="11" t="s">
        <v>29</v>
      </c>
      <c r="D17" s="11"/>
      <c r="E17" s="11" t="s">
        <v>8</v>
      </c>
      <c r="F17" s="11">
        <v>20</v>
      </c>
      <c r="G17" s="12">
        <v>21838</v>
      </c>
      <c r="H17" s="14">
        <v>15000</v>
      </c>
      <c r="I17" s="14"/>
      <c r="J17" s="11" t="s">
        <v>9</v>
      </c>
      <c r="K17" s="15" t="str">
        <f>IF(OR('[1]OPE INV'!$L24="oui", '[1]OPE INV'!$L24="Annulé"),'[1]OPE INV'!$J24-'[1]OPE INV'!$K24,"")</f>
        <v/>
      </c>
      <c r="L17" s="16"/>
    </row>
    <row r="18" spans="1:12" ht="19.2" x14ac:dyDescent="0.45">
      <c r="A18" s="10" t="s">
        <v>12</v>
      </c>
      <c r="B18" s="10"/>
      <c r="C18" s="11" t="s">
        <v>30</v>
      </c>
      <c r="D18" s="11"/>
      <c r="E18" s="11" t="s">
        <v>8</v>
      </c>
      <c r="F18" s="11">
        <v>20</v>
      </c>
      <c r="G18" s="12">
        <v>2185</v>
      </c>
      <c r="H18" s="14">
        <v>15000</v>
      </c>
      <c r="I18" s="14"/>
      <c r="J18" s="11" t="s">
        <v>9</v>
      </c>
      <c r="K18" s="15" t="str">
        <f>IF(OR('[1]OPE INV'!$L25="oui", '[1]OPE INV'!$L25="Annulé"),'[1]OPE INV'!$J25-'[1]OPE INV'!$K25,"")</f>
        <v/>
      </c>
      <c r="L18" s="22"/>
    </row>
    <row r="19" spans="1:12" ht="19.2" x14ac:dyDescent="0.45">
      <c r="A19" s="19" t="s">
        <v>12</v>
      </c>
      <c r="B19" s="19"/>
      <c r="C19" s="20" t="s">
        <v>31</v>
      </c>
      <c r="D19" s="20"/>
      <c r="E19" s="20" t="s">
        <v>25</v>
      </c>
      <c r="F19" s="20">
        <v>20</v>
      </c>
      <c r="G19" s="21">
        <v>21838</v>
      </c>
      <c r="H19" s="13">
        <f>130000-SUM(H20:H23)</f>
        <v>0</v>
      </c>
      <c r="I19" s="13"/>
      <c r="J19" s="11" t="s">
        <v>9</v>
      </c>
      <c r="K19" s="15" t="str">
        <f>IF(OR('[1]OPE INV'!$L26="oui", '[1]OPE INV'!$L26="Annulé"),'[1]OPE INV'!$J26-'[1]OPE INV'!$K26,"")</f>
        <v/>
      </c>
      <c r="L19" s="16"/>
    </row>
    <row r="20" spans="1:12" ht="19.2" x14ac:dyDescent="0.45">
      <c r="A20" s="10" t="s">
        <v>12</v>
      </c>
      <c r="B20" s="23"/>
      <c r="C20" s="11" t="s">
        <v>32</v>
      </c>
      <c r="D20" s="11"/>
      <c r="E20" s="11" t="s">
        <v>25</v>
      </c>
      <c r="F20" s="11">
        <v>20</v>
      </c>
      <c r="G20" s="12">
        <v>21838</v>
      </c>
      <c r="H20" s="14">
        <v>50000</v>
      </c>
      <c r="I20" s="14"/>
      <c r="J20" s="11" t="s">
        <v>9</v>
      </c>
      <c r="K20" s="15" t="str">
        <f>IF(OR('[1]OPE INV'!$L27="oui", '[1]OPE INV'!$L27="Annulé"),'[1]OPE INV'!$J27-'[1]OPE INV'!$K27,"")</f>
        <v/>
      </c>
      <c r="L20" s="16"/>
    </row>
    <row r="21" spans="1:12" ht="19.2" x14ac:dyDescent="0.45">
      <c r="A21" s="10" t="s">
        <v>12</v>
      </c>
      <c r="B21" s="23"/>
      <c r="C21" s="11" t="s">
        <v>33</v>
      </c>
      <c r="D21" s="11"/>
      <c r="E21" s="11" t="s">
        <v>25</v>
      </c>
      <c r="F21" s="11">
        <v>213</v>
      </c>
      <c r="G21" s="12">
        <v>2185</v>
      </c>
      <c r="H21" s="14">
        <v>50000</v>
      </c>
      <c r="I21" s="14"/>
      <c r="J21" s="11" t="s">
        <v>9</v>
      </c>
      <c r="K21" s="15" t="str">
        <f>IF(OR('[1]OPE INV'!$L28="oui", '[1]OPE INV'!$L28="Annulé"),'[1]OPE INV'!$J28-'[1]OPE INV'!$K28,"")</f>
        <v/>
      </c>
      <c r="L21" s="16"/>
    </row>
    <row r="22" spans="1:12" ht="19.2" x14ac:dyDescent="0.45">
      <c r="A22" s="23" t="s">
        <v>12</v>
      </c>
      <c r="B22" s="23"/>
      <c r="C22" s="11" t="s">
        <v>34</v>
      </c>
      <c r="D22" s="11"/>
      <c r="E22" s="11" t="s">
        <v>25</v>
      </c>
      <c r="F22" s="11">
        <v>20</v>
      </c>
      <c r="G22" s="12">
        <v>21838</v>
      </c>
      <c r="H22" s="14">
        <v>30000</v>
      </c>
      <c r="I22" s="14"/>
      <c r="J22" s="11" t="s">
        <v>9</v>
      </c>
      <c r="K22" s="15" t="str">
        <f>IF(OR('[1]OPE INV'!$L29="oui", '[1]OPE INV'!$L29="Annulé"),'[1]OPE INV'!$J29-'[1]OPE INV'!$K29,"")</f>
        <v/>
      </c>
      <c r="L22" s="16"/>
    </row>
    <row r="23" spans="1:12" ht="19.2" x14ac:dyDescent="0.45">
      <c r="A23" s="23" t="s">
        <v>12</v>
      </c>
      <c r="B23" s="23"/>
      <c r="C23" s="11" t="s">
        <v>35</v>
      </c>
      <c r="D23" s="11"/>
      <c r="E23" s="11" t="s">
        <v>25</v>
      </c>
      <c r="F23" s="11">
        <v>20</v>
      </c>
      <c r="G23" s="12"/>
      <c r="H23" s="14">
        <v>0</v>
      </c>
      <c r="I23" s="14"/>
      <c r="J23" s="11" t="s">
        <v>9</v>
      </c>
      <c r="K23" s="15" t="str">
        <f>IF(OR('[1]OPE INV'!$L30="oui", '[1]OPE INV'!$L30="Annulé"),'[1]OPE INV'!$J30-'[1]OPE INV'!$K30,"")</f>
        <v/>
      </c>
      <c r="L23" s="16"/>
    </row>
    <row r="24" spans="1:12" ht="19.2" x14ac:dyDescent="0.45">
      <c r="A24" s="23"/>
      <c r="B24" s="23"/>
      <c r="C24" s="11"/>
      <c r="D24" s="11"/>
      <c r="E24" s="11"/>
      <c r="F24" s="11"/>
      <c r="G24" s="12"/>
      <c r="H24" s="14"/>
      <c r="I24" s="14"/>
      <c r="J24" s="11"/>
      <c r="K24" s="15" t="str">
        <f>IF(OR('[1]OPE INV'!$L31="oui", '[1]OPE INV'!$L31="Annulé"),'[1]OPE INV'!$J31-'[1]OPE INV'!$K31,"")</f>
        <v/>
      </c>
      <c r="L24" s="16"/>
    </row>
    <row r="25" spans="1:12" ht="19.2" x14ac:dyDescent="0.45">
      <c r="A25" s="10"/>
      <c r="B25" s="10"/>
      <c r="C25" s="11"/>
      <c r="D25" s="11"/>
      <c r="E25" s="11"/>
      <c r="F25" s="11"/>
      <c r="G25" s="12"/>
      <c r="H25" s="14"/>
      <c r="I25" s="14"/>
      <c r="J25" s="11"/>
      <c r="K25" s="15" t="str">
        <f>IF(OR('[1]OPE INV'!$L32="oui", '[1]OPE INV'!$L32="Annulé"),'[1]OPE INV'!$J32-'[1]OPE INV'!$K32,"")</f>
        <v/>
      </c>
      <c r="L25" s="16"/>
    </row>
    <row r="26" spans="1:12" ht="19.2" x14ac:dyDescent="0.45">
      <c r="A26" s="10" t="s">
        <v>36</v>
      </c>
      <c r="B26" s="10"/>
      <c r="C26" s="11" t="s">
        <v>37</v>
      </c>
      <c r="D26" s="11"/>
      <c r="E26" s="11" t="s">
        <v>8</v>
      </c>
      <c r="F26" s="11">
        <v>20</v>
      </c>
      <c r="G26" s="12">
        <v>21838</v>
      </c>
      <c r="H26" s="14">
        <v>30000</v>
      </c>
      <c r="I26" s="14"/>
      <c r="J26" s="11" t="s">
        <v>9</v>
      </c>
      <c r="K26" s="15" t="str">
        <f>IF(OR('[1]OPE INV'!$L33="oui", '[1]OPE INV'!$L33="Annulé"),'[1]OPE INV'!$J33-'[1]OPE INV'!$K33,"")</f>
        <v/>
      </c>
      <c r="L26" s="16"/>
    </row>
    <row r="27" spans="1:12" ht="19.2" x14ac:dyDescent="0.45">
      <c r="A27" s="10" t="s">
        <v>36</v>
      </c>
      <c r="B27" s="10"/>
      <c r="C27" s="11" t="s">
        <v>38</v>
      </c>
      <c r="D27" s="11"/>
      <c r="E27" s="11" t="s">
        <v>8</v>
      </c>
      <c r="F27" s="11">
        <v>20</v>
      </c>
      <c r="G27" s="12">
        <v>2051</v>
      </c>
      <c r="H27" s="14">
        <v>30000</v>
      </c>
      <c r="I27" s="14"/>
      <c r="J27" s="11" t="s">
        <v>9</v>
      </c>
      <c r="K27" s="15" t="str">
        <f>IF(OR('[1]OPE INV'!$L34="oui", '[1]OPE INV'!$L34="Annulé"),'[1]OPE INV'!$J34-'[1]OPE INV'!$K34,"")</f>
        <v/>
      </c>
      <c r="L27" s="24"/>
    </row>
    <row r="28" spans="1:12" ht="19.2" x14ac:dyDescent="0.45">
      <c r="A28" s="10" t="s">
        <v>36</v>
      </c>
      <c r="B28" s="10"/>
      <c r="C28" s="11" t="s">
        <v>39</v>
      </c>
      <c r="D28" s="11"/>
      <c r="E28" s="11" t="s">
        <v>8</v>
      </c>
      <c r="F28" s="11">
        <v>20</v>
      </c>
      <c r="G28" s="12">
        <v>2051</v>
      </c>
      <c r="H28" s="14">
        <v>0</v>
      </c>
      <c r="I28" s="14"/>
      <c r="J28" s="11" t="s">
        <v>9</v>
      </c>
      <c r="K28" s="15" t="str">
        <f>IF(OR('[1]OPE INV'!$L35="oui", '[1]OPE INV'!$L35="Annulé"),'[1]OPE INV'!$J35-'[1]OPE INV'!$K35,"")</f>
        <v/>
      </c>
      <c r="L28" s="16"/>
    </row>
    <row r="29" spans="1:12" ht="19.2" x14ac:dyDescent="0.45">
      <c r="A29" s="10" t="s">
        <v>36</v>
      </c>
      <c r="B29" s="10"/>
      <c r="C29" s="11" t="s">
        <v>40</v>
      </c>
      <c r="D29" s="11"/>
      <c r="E29" s="11" t="s">
        <v>8</v>
      </c>
      <c r="F29" s="11">
        <v>20</v>
      </c>
      <c r="G29" s="12">
        <v>21838</v>
      </c>
      <c r="H29" s="14">
        <v>150000</v>
      </c>
      <c r="I29" s="14"/>
      <c r="J29" s="11" t="s">
        <v>9</v>
      </c>
      <c r="K29" s="15" t="str">
        <f>IF(OR('[1]OPE INV'!$L36="oui", '[1]OPE INV'!$L36="Annulé"),'[1]OPE INV'!$J36-'[1]OPE INV'!$K36,"")</f>
        <v/>
      </c>
      <c r="L29" s="16"/>
    </row>
    <row r="30" spans="1:12" ht="19.2" x14ac:dyDescent="0.45">
      <c r="A30" s="10" t="s">
        <v>36</v>
      </c>
      <c r="B30" s="10"/>
      <c r="C30" s="11" t="s">
        <v>41</v>
      </c>
      <c r="D30" s="11"/>
      <c r="E30" s="11" t="s">
        <v>8</v>
      </c>
      <c r="F30" s="11">
        <v>20</v>
      </c>
      <c r="G30" s="12">
        <v>21838</v>
      </c>
      <c r="H30" s="14">
        <v>5000</v>
      </c>
      <c r="I30" s="14"/>
      <c r="J30" s="11" t="s">
        <v>9</v>
      </c>
      <c r="K30" s="15" t="str">
        <f>IF(OR('[1]OPE INV'!$L37="oui", '[1]OPE INV'!$L37="Annulé"),'[1]OPE INV'!$J37-'[1]OPE INV'!$K37,"")</f>
        <v/>
      </c>
      <c r="L30" s="16"/>
    </row>
    <row r="31" spans="1:12" ht="19.2" x14ac:dyDescent="0.45">
      <c r="A31" s="10" t="s">
        <v>36</v>
      </c>
      <c r="B31" s="10"/>
      <c r="C31" s="11" t="s">
        <v>42</v>
      </c>
      <c r="D31" s="11"/>
      <c r="E31" s="11" t="s">
        <v>8</v>
      </c>
      <c r="F31" s="11">
        <v>20</v>
      </c>
      <c r="G31" s="12">
        <v>21838</v>
      </c>
      <c r="H31" s="14">
        <v>5000</v>
      </c>
      <c r="I31" s="14"/>
      <c r="J31" s="11" t="s">
        <v>9</v>
      </c>
      <c r="K31" s="15" t="str">
        <f>IF(OR('[1]OPE INV'!$L38="oui", '[1]OPE INV'!$L38="Annulé"),'[1]OPE INV'!$J38-'[1]OPE INV'!$K38,"")</f>
        <v/>
      </c>
      <c r="L31" s="16"/>
    </row>
    <row r="32" spans="1:12" ht="19.2" x14ac:dyDescent="0.45">
      <c r="A32" s="10" t="s">
        <v>36</v>
      </c>
      <c r="B32" s="10"/>
      <c r="C32" s="11" t="s">
        <v>43</v>
      </c>
      <c r="D32" s="11"/>
      <c r="E32" s="11" t="s">
        <v>8</v>
      </c>
      <c r="F32" s="11">
        <v>20</v>
      </c>
      <c r="G32" s="12">
        <v>2185</v>
      </c>
      <c r="H32" s="14">
        <v>20000</v>
      </c>
      <c r="I32" s="14"/>
      <c r="J32" s="11" t="s">
        <v>9</v>
      </c>
      <c r="K32" s="15" t="str">
        <f>IF(OR('[1]OPE INV'!$L39="oui", '[1]OPE INV'!$L39="Annulé"),'[1]OPE INV'!$J39-'[1]OPE INV'!$K39,"")</f>
        <v/>
      </c>
      <c r="L32" s="16"/>
    </row>
    <row r="33" spans="1:12" ht="19.2" x14ac:dyDescent="0.45">
      <c r="A33" s="10" t="s">
        <v>36</v>
      </c>
      <c r="B33" s="10"/>
      <c r="C33" s="11" t="s">
        <v>44</v>
      </c>
      <c r="D33" s="11" t="s">
        <v>45</v>
      </c>
      <c r="E33" s="11" t="s">
        <v>25</v>
      </c>
      <c r="F33" s="11">
        <v>20</v>
      </c>
      <c r="G33" s="12">
        <v>21838</v>
      </c>
      <c r="H33" s="14">
        <v>50000</v>
      </c>
      <c r="I33" s="14"/>
      <c r="J33" s="11" t="s">
        <v>9</v>
      </c>
      <c r="K33" s="15" t="str">
        <f>IF(OR('[1]OPE INV'!$L40="oui", '[1]OPE INV'!$L40="Annulé"),'[1]OPE INV'!$J40-'[1]OPE INV'!$K40,"")</f>
        <v/>
      </c>
      <c r="L33" s="16"/>
    </row>
    <row r="34" spans="1:12" ht="19.2" x14ac:dyDescent="0.45">
      <c r="A34" s="10" t="s">
        <v>36</v>
      </c>
      <c r="B34" s="10"/>
      <c r="C34" s="11" t="s">
        <v>46</v>
      </c>
      <c r="D34" s="11"/>
      <c r="E34" s="11" t="s">
        <v>25</v>
      </c>
      <c r="F34" s="11">
        <v>20</v>
      </c>
      <c r="G34" s="12">
        <v>21838</v>
      </c>
      <c r="H34" s="14">
        <v>50000</v>
      </c>
      <c r="I34" s="14"/>
      <c r="J34" s="11" t="s">
        <v>9</v>
      </c>
      <c r="K34" s="15" t="str">
        <f>IF(OR('[1]OPE INV'!$L41="oui", '[1]OPE INV'!$L41="Annulé"),'[1]OPE INV'!$J41-'[1]OPE INV'!$K41,"")</f>
        <v/>
      </c>
      <c r="L34" s="16"/>
    </row>
    <row r="35" spans="1:12" ht="19.2" x14ac:dyDescent="0.45">
      <c r="A35" s="10"/>
      <c r="B35" s="10"/>
      <c r="C35" s="11"/>
      <c r="D35" s="11"/>
      <c r="E35" s="11"/>
      <c r="F35" s="11"/>
      <c r="G35" s="12"/>
      <c r="H35" s="14"/>
      <c r="I35" s="14"/>
      <c r="J35" s="11"/>
      <c r="K35" s="15" t="str">
        <f>IF(OR('[1]OPE INV'!$L42="oui", '[1]OPE INV'!$L42="Annulé"),'[1]OPE INV'!$J42-'[1]OPE INV'!$K42,"")</f>
        <v/>
      </c>
      <c r="L35" s="22"/>
    </row>
    <row r="36" spans="1:12" ht="19.2" x14ac:dyDescent="0.45">
      <c r="A36" s="10" t="s">
        <v>47</v>
      </c>
      <c r="B36" s="10"/>
      <c r="C36" s="11" t="s">
        <v>48</v>
      </c>
      <c r="D36" s="11"/>
      <c r="E36" s="11" t="s">
        <v>25</v>
      </c>
      <c r="F36" s="11"/>
      <c r="G36" s="12">
        <v>2051</v>
      </c>
      <c r="H36" s="14">
        <v>0</v>
      </c>
      <c r="I36" s="14"/>
      <c r="J36" s="11" t="s">
        <v>9</v>
      </c>
      <c r="K36" s="15" t="str">
        <f>IF(OR('[1]OPE INV'!$L44="oui", '[1]OPE INV'!$L44="Annulé"),'[1]OPE INV'!$J44-'[1]OPE INV'!$K44,"")</f>
        <v/>
      </c>
      <c r="L36" s="16"/>
    </row>
    <row r="37" spans="1:12" ht="19.2" x14ac:dyDescent="0.45">
      <c r="A37" s="10" t="s">
        <v>47</v>
      </c>
      <c r="B37" s="10"/>
      <c r="C37" s="11" t="s">
        <v>49</v>
      </c>
      <c r="D37" s="11"/>
      <c r="E37" s="15" t="s">
        <v>25</v>
      </c>
      <c r="F37" s="11"/>
      <c r="G37" s="12">
        <v>2051</v>
      </c>
      <c r="H37" s="14">
        <v>35000</v>
      </c>
      <c r="I37" s="14"/>
      <c r="J37" s="11" t="s">
        <v>9</v>
      </c>
      <c r="K37" s="15" t="str">
        <f>IF(OR('[1]OPE INV'!$L45="oui", '[1]OPE INV'!$L45="Annulé"),'[1]OPE INV'!$J45-'[1]OPE INV'!$K45,"")</f>
        <v/>
      </c>
      <c r="L37" s="16"/>
    </row>
    <row r="38" spans="1:12" ht="19.2" x14ac:dyDescent="0.45">
      <c r="A38" s="23" t="s">
        <v>47</v>
      </c>
      <c r="B38" s="23"/>
      <c r="C38" s="11" t="s">
        <v>50</v>
      </c>
      <c r="D38" s="11" t="s">
        <v>23</v>
      </c>
      <c r="E38" s="15" t="s">
        <v>25</v>
      </c>
      <c r="F38" s="11"/>
      <c r="G38" s="12">
        <v>2051</v>
      </c>
      <c r="H38" s="14">
        <v>40000</v>
      </c>
      <c r="I38" s="14"/>
      <c r="J38" s="11" t="s">
        <v>9</v>
      </c>
      <c r="K38" s="15" t="str">
        <f>IF(OR('[1]OPE INV'!$L46="oui", '[1]OPE INV'!$L46="Annulé"),'[1]OPE INV'!$J46-'[1]OPE INV'!$K46,"")</f>
        <v/>
      </c>
      <c r="L38" s="17"/>
    </row>
    <row r="39" spans="1:12" ht="19.2" x14ac:dyDescent="0.45">
      <c r="A39" s="10" t="s">
        <v>47</v>
      </c>
      <c r="B39" s="10"/>
      <c r="C39" s="11" t="s">
        <v>51</v>
      </c>
      <c r="D39" s="11" t="s">
        <v>52</v>
      </c>
      <c r="E39" s="15" t="s">
        <v>25</v>
      </c>
      <c r="F39" s="11"/>
      <c r="G39" s="12">
        <v>2051</v>
      </c>
      <c r="H39" s="14">
        <v>20000</v>
      </c>
      <c r="I39" s="14"/>
      <c r="J39" s="11" t="s">
        <v>9</v>
      </c>
      <c r="K39" s="15" t="str">
        <f>IF(OR('[1]OPE INV'!$L47="oui", '[1]OPE INV'!$L47="Annulé"),'[1]OPE INV'!$J47-'[1]OPE INV'!$K47,"")</f>
        <v/>
      </c>
      <c r="L39" s="16"/>
    </row>
    <row r="40" spans="1:12" ht="19.2" x14ac:dyDescent="0.45">
      <c r="A40" s="10" t="s">
        <v>47</v>
      </c>
      <c r="B40" s="10"/>
      <c r="C40" s="11" t="s">
        <v>53</v>
      </c>
      <c r="D40" s="11" t="s">
        <v>54</v>
      </c>
      <c r="E40" s="15" t="s">
        <v>25</v>
      </c>
      <c r="F40" s="11"/>
      <c r="G40" s="12">
        <v>2051</v>
      </c>
      <c r="H40" s="14">
        <v>30000</v>
      </c>
      <c r="I40" s="14"/>
      <c r="J40" s="11" t="s">
        <v>9</v>
      </c>
      <c r="K40" s="15" t="str">
        <f>IF(OR('[1]OPE INV'!$L48="oui", '[1]OPE INV'!$L48="Annulé"),'[1]OPE INV'!$J48-'[1]OPE INV'!$K48,"")</f>
        <v/>
      </c>
      <c r="L40" s="16"/>
    </row>
    <row r="41" spans="1:12" ht="19.2" x14ac:dyDescent="0.45">
      <c r="A41" s="23" t="s">
        <v>47</v>
      </c>
      <c r="B41" s="23"/>
      <c r="C41" s="11" t="s">
        <v>55</v>
      </c>
      <c r="D41" s="11"/>
      <c r="E41" s="15" t="s">
        <v>25</v>
      </c>
      <c r="F41" s="11"/>
      <c r="G41" s="12">
        <v>2051</v>
      </c>
      <c r="H41" s="14">
        <v>15000</v>
      </c>
      <c r="I41" s="14"/>
      <c r="J41" s="11" t="s">
        <v>9</v>
      </c>
      <c r="K41" s="15"/>
      <c r="L41" s="16"/>
    </row>
    <row r="42" spans="1:12" ht="19.2" x14ac:dyDescent="0.45">
      <c r="A42" s="10" t="s">
        <v>47</v>
      </c>
      <c r="B42" s="10"/>
      <c r="C42" s="11" t="s">
        <v>56</v>
      </c>
      <c r="D42" s="11"/>
      <c r="E42" s="15" t="s">
        <v>25</v>
      </c>
      <c r="F42" s="11"/>
      <c r="G42" s="12">
        <v>2051</v>
      </c>
      <c r="H42" s="14">
        <v>40000</v>
      </c>
      <c r="I42" s="14"/>
      <c r="J42" s="11" t="s">
        <v>9</v>
      </c>
      <c r="K42" s="15" t="str">
        <f>IF(OR('[1]OPE INV'!$L50="oui", '[1]OPE INV'!$L50="Annulé"),'[1]OPE INV'!$J50-'[1]OPE INV'!$K50,"")</f>
        <v/>
      </c>
      <c r="L42" s="16"/>
    </row>
    <row r="43" spans="1:12" ht="19.2" x14ac:dyDescent="0.45">
      <c r="A43" s="23" t="s">
        <v>47</v>
      </c>
      <c r="B43" s="23"/>
      <c r="C43" s="11" t="s">
        <v>57</v>
      </c>
      <c r="D43" s="25"/>
      <c r="E43" s="15" t="s">
        <v>25</v>
      </c>
      <c r="F43" s="11"/>
      <c r="G43" s="12">
        <v>2051</v>
      </c>
      <c r="H43" s="14">
        <v>15000</v>
      </c>
      <c r="I43" s="14"/>
      <c r="J43" s="11" t="s">
        <v>9</v>
      </c>
      <c r="K43" s="15"/>
      <c r="L43" s="16"/>
    </row>
    <row r="44" spans="1:12" ht="19.2" x14ac:dyDescent="0.45">
      <c r="A44" s="23" t="s">
        <v>47</v>
      </c>
      <c r="B44" s="23"/>
      <c r="C44" s="11" t="s">
        <v>58</v>
      </c>
      <c r="D44" s="11"/>
      <c r="E44" s="15" t="s">
        <v>25</v>
      </c>
      <c r="F44" s="11"/>
      <c r="G44" s="12">
        <v>2051</v>
      </c>
      <c r="H44" s="14">
        <v>20000</v>
      </c>
      <c r="I44" s="14"/>
      <c r="J44" s="11" t="s">
        <v>9</v>
      </c>
      <c r="K44" s="15" t="str">
        <f>IF(OR('[1]OPE INV'!$L52="oui", '[1]OPE INV'!$L52="Annulé"),'[1]OPE INV'!$J52-'[1]OPE INV'!$K52,"")</f>
        <v/>
      </c>
      <c r="L44" s="16"/>
    </row>
    <row r="45" spans="1:12" ht="19.2" x14ac:dyDescent="0.45">
      <c r="A45" s="10" t="s">
        <v>47</v>
      </c>
      <c r="B45" s="10"/>
      <c r="C45" s="11" t="s">
        <v>59</v>
      </c>
      <c r="D45" s="11"/>
      <c r="E45" s="15" t="s">
        <v>25</v>
      </c>
      <c r="F45" s="11"/>
      <c r="G45" s="12">
        <v>2051</v>
      </c>
      <c r="H45" s="14">
        <v>20000</v>
      </c>
      <c r="I45" s="14"/>
      <c r="J45" s="11" t="s">
        <v>9</v>
      </c>
      <c r="K45" s="15"/>
      <c r="L45" s="16"/>
    </row>
    <row r="46" spans="1:12" ht="19.2" x14ac:dyDescent="0.45">
      <c r="A46" s="23" t="s">
        <v>47</v>
      </c>
      <c r="B46" s="23"/>
      <c r="C46" s="11" t="s">
        <v>60</v>
      </c>
      <c r="D46" s="11"/>
      <c r="E46" s="15" t="s">
        <v>25</v>
      </c>
      <c r="F46" s="11"/>
      <c r="G46" s="12">
        <v>21838</v>
      </c>
      <c r="H46" s="14">
        <v>16000</v>
      </c>
      <c r="I46" s="14"/>
      <c r="J46" s="11" t="s">
        <v>9</v>
      </c>
      <c r="K46" s="15" t="str">
        <f>IF(OR('[1]OPE INV'!$L54="oui", '[1]OPE INV'!$L54="Annulé"),'[1]OPE INV'!$J54-'[1]OPE INV'!$K54,"")</f>
        <v/>
      </c>
      <c r="L46" s="16"/>
    </row>
    <row r="47" spans="1:12" ht="19.2" x14ac:dyDescent="0.45">
      <c r="A47" s="23" t="s">
        <v>47</v>
      </c>
      <c r="B47" s="23"/>
      <c r="C47" s="11" t="s">
        <v>61</v>
      </c>
      <c r="D47" s="11"/>
      <c r="E47" s="15" t="s">
        <v>25</v>
      </c>
      <c r="F47" s="11"/>
      <c r="G47" s="12">
        <v>2051</v>
      </c>
      <c r="H47" s="14">
        <v>15000</v>
      </c>
      <c r="I47" s="14"/>
      <c r="J47" s="11" t="s">
        <v>9</v>
      </c>
      <c r="K47" s="15"/>
      <c r="L47" s="16"/>
    </row>
    <row r="48" spans="1:12" ht="19.2" x14ac:dyDescent="0.45">
      <c r="A48" s="23" t="s">
        <v>47</v>
      </c>
      <c r="B48" s="23"/>
      <c r="C48" s="11" t="s">
        <v>62</v>
      </c>
      <c r="D48" s="11" t="s">
        <v>63</v>
      </c>
      <c r="E48" s="15" t="s">
        <v>25</v>
      </c>
      <c r="F48" s="11"/>
      <c r="G48" s="12">
        <v>2051</v>
      </c>
      <c r="H48" s="14">
        <v>24000</v>
      </c>
      <c r="I48" s="14"/>
      <c r="J48" s="11" t="s">
        <v>9</v>
      </c>
      <c r="K48" s="15"/>
      <c r="L48" s="16"/>
    </row>
    <row r="49" spans="1:12" ht="19.2" x14ac:dyDescent="0.45">
      <c r="A49" s="23" t="s">
        <v>47</v>
      </c>
      <c r="B49" s="23"/>
      <c r="C49" s="11" t="s">
        <v>64</v>
      </c>
      <c r="D49" s="11"/>
      <c r="E49" s="15" t="s">
        <v>25</v>
      </c>
      <c r="F49" s="11"/>
      <c r="G49" s="12">
        <v>2051</v>
      </c>
      <c r="H49" s="14">
        <v>18000</v>
      </c>
      <c r="I49" s="14"/>
      <c r="J49" s="11" t="s">
        <v>9</v>
      </c>
      <c r="K49" s="15"/>
      <c r="L49" s="16"/>
    </row>
    <row r="50" spans="1:12" ht="19.8" thickBot="1" x14ac:dyDescent="0.5">
      <c r="A50" s="23" t="s">
        <v>47</v>
      </c>
      <c r="B50" s="23"/>
      <c r="C50" s="11" t="s">
        <v>65</v>
      </c>
      <c r="D50" s="11" t="s">
        <v>66</v>
      </c>
      <c r="E50" s="15" t="s">
        <v>25</v>
      </c>
      <c r="F50" s="11"/>
      <c r="G50" s="12">
        <v>2051</v>
      </c>
      <c r="H50" s="14">
        <v>7000</v>
      </c>
      <c r="I50" s="14"/>
      <c r="J50" s="11" t="s">
        <v>9</v>
      </c>
      <c r="K50" s="26"/>
      <c r="L50" s="27"/>
    </row>
    <row r="51" spans="1:12" ht="19.8" thickTop="1" x14ac:dyDescent="0.45">
      <c r="A51" s="36" t="s">
        <v>15</v>
      </c>
      <c r="B51" s="77"/>
      <c r="C51" s="37" t="s">
        <v>68</v>
      </c>
      <c r="D51" s="37" t="s">
        <v>69</v>
      </c>
      <c r="E51" s="37"/>
      <c r="F51" s="38">
        <v>20</v>
      </c>
      <c r="G51" s="39">
        <v>6262</v>
      </c>
      <c r="H51" s="40">
        <v>184000</v>
      </c>
      <c r="I51" s="41"/>
      <c r="J51" s="37"/>
      <c r="K51" s="42" t="str">
        <f>IF(OR('[1]OPE FON'!$I54="oui", '[1]OPE FON'!$I54="Annulé"),'[1]OPE FON'!$G54-'[1]OPE FON'!$H54,"")</f>
        <v/>
      </c>
      <c r="L51" s="37"/>
    </row>
    <row r="52" spans="1:12" ht="19.8" thickBot="1" x14ac:dyDescent="0.5">
      <c r="A52" s="43" t="s">
        <v>15</v>
      </c>
      <c r="B52" s="78"/>
      <c r="C52" s="44" t="s">
        <v>68</v>
      </c>
      <c r="D52" s="44" t="s">
        <v>70</v>
      </c>
      <c r="E52" s="44"/>
      <c r="F52" s="45">
        <v>213</v>
      </c>
      <c r="G52" s="46">
        <v>6262</v>
      </c>
      <c r="H52" s="47">
        <v>17300</v>
      </c>
      <c r="I52" s="48"/>
      <c r="J52" s="44"/>
      <c r="K52" s="49" t="str">
        <f>IF(OR('[1]OPE FON'!$I55="oui", '[1]OPE FON'!$I55="Annulé"),'[1]OPE FON'!$G55-'[1]OPE FON'!$H55,"")</f>
        <v/>
      </c>
      <c r="L52" s="44"/>
    </row>
    <row r="53" spans="1:12" ht="19.8" thickTop="1" x14ac:dyDescent="0.45">
      <c r="A53" s="36" t="s">
        <v>15</v>
      </c>
      <c r="B53" s="77"/>
      <c r="C53" s="37" t="s">
        <v>68</v>
      </c>
      <c r="D53" s="37" t="s">
        <v>71</v>
      </c>
      <c r="E53" s="37"/>
      <c r="F53" s="38">
        <v>321</v>
      </c>
      <c r="G53" s="39">
        <v>6262</v>
      </c>
      <c r="H53" s="40">
        <v>4500</v>
      </c>
      <c r="I53" s="41"/>
      <c r="J53" s="37"/>
      <c r="K53" s="42" t="str">
        <f>IF(OR('[1]OPE FON'!$I56="oui", '[1]OPE FON'!$I56="Annulé"),'[1]OPE FON'!$G56-'[1]OPE FON'!$H56,"")</f>
        <v/>
      </c>
      <c r="L53" s="37"/>
    </row>
    <row r="54" spans="1:12" ht="19.8" thickBot="1" x14ac:dyDescent="0.5">
      <c r="A54" s="43" t="s">
        <v>15</v>
      </c>
      <c r="B54" s="78"/>
      <c r="C54" s="44" t="s">
        <v>68</v>
      </c>
      <c r="D54" s="44" t="s">
        <v>72</v>
      </c>
      <c r="E54" s="44"/>
      <c r="F54" s="45">
        <v>332</v>
      </c>
      <c r="G54" s="46">
        <v>6262</v>
      </c>
      <c r="H54" s="47">
        <v>1100</v>
      </c>
      <c r="I54" s="48"/>
      <c r="J54" s="44"/>
      <c r="K54" s="49" t="str">
        <f>IF(OR('[1]OPE FON'!$I57="oui", '[1]OPE FON'!$I57="Annulé"),'[1]OPE FON'!$G57-'[1]OPE FON'!$H57,"")</f>
        <v/>
      </c>
      <c r="L54" s="44"/>
    </row>
    <row r="55" spans="1:12" ht="20.399999999999999" thickTop="1" thickBot="1" x14ac:dyDescent="0.5">
      <c r="A55" s="36" t="s">
        <v>15</v>
      </c>
      <c r="B55" s="77"/>
      <c r="C55" s="37" t="s">
        <v>73</v>
      </c>
      <c r="D55" s="37" t="s">
        <v>74</v>
      </c>
      <c r="E55" s="37"/>
      <c r="F55" s="38">
        <v>4221</v>
      </c>
      <c r="G55" s="39">
        <v>6262</v>
      </c>
      <c r="H55" s="40">
        <v>6100</v>
      </c>
      <c r="I55" s="41"/>
      <c r="J55" s="37"/>
      <c r="K55" s="42" t="str">
        <f>IF(OR('[1]OPE FON'!$I58="oui", '[1]OPE FON'!$I58="Annulé"),'[1]OPE FON'!$G58-'[1]OPE FON'!$H58,"")</f>
        <v/>
      </c>
      <c r="L55" s="37"/>
    </row>
    <row r="56" spans="1:12" ht="19.8" thickTop="1" x14ac:dyDescent="0.45">
      <c r="A56" s="50" t="s">
        <v>15</v>
      </c>
      <c r="B56" s="79"/>
      <c r="C56" s="51" t="s">
        <v>73</v>
      </c>
      <c r="D56" s="51" t="s">
        <v>75</v>
      </c>
      <c r="E56" s="51"/>
      <c r="F56" s="52">
        <v>420</v>
      </c>
      <c r="G56" s="53">
        <v>6262</v>
      </c>
      <c r="H56" s="54">
        <v>0</v>
      </c>
      <c r="I56" s="55"/>
      <c r="J56" s="51"/>
      <c r="K56" s="56" t="str">
        <f>IF(OR('[1]OPE FON'!$I59="oui", '[1]OPE FON'!$I59="Annulé"),'[1]OPE FON'!$G59-'[1]OPE FON'!$H59,"")</f>
        <v/>
      </c>
      <c r="L56" s="51" t="s">
        <v>76</v>
      </c>
    </row>
    <row r="57" spans="1:12" ht="19.2" x14ac:dyDescent="0.45">
      <c r="A57" s="57" t="s">
        <v>15</v>
      </c>
      <c r="B57" s="80"/>
      <c r="C57" s="58" t="s">
        <v>77</v>
      </c>
      <c r="D57" s="58" t="s">
        <v>78</v>
      </c>
      <c r="E57" s="58"/>
      <c r="F57" s="59">
        <v>20</v>
      </c>
      <c r="G57" s="60">
        <v>611</v>
      </c>
      <c r="H57" s="61">
        <v>20000</v>
      </c>
      <c r="I57" s="62"/>
      <c r="J57" s="58"/>
      <c r="K57" s="63" t="str">
        <f>IF(OR('[1]OPE FON'!$I60="oui", '[1]OPE FON'!$I60="Annulé"),'[1]OPE FON'!$G60-'[1]OPE FON'!$H60,"")</f>
        <v/>
      </c>
      <c r="L57" s="58"/>
    </row>
    <row r="58" spans="1:12" ht="19.8" thickBot="1" x14ac:dyDescent="0.5">
      <c r="A58" s="43" t="s">
        <v>15</v>
      </c>
      <c r="B58" s="78"/>
      <c r="C58" s="44" t="s">
        <v>77</v>
      </c>
      <c r="D58" s="44" t="s">
        <v>79</v>
      </c>
      <c r="E58" s="44"/>
      <c r="F58" s="45">
        <v>20</v>
      </c>
      <c r="G58" s="46">
        <v>611</v>
      </c>
      <c r="H58" s="47">
        <v>50000</v>
      </c>
      <c r="I58" s="48"/>
      <c r="J58" s="44"/>
      <c r="K58" s="49" t="str">
        <f>IF(OR('[1]OPE FON'!$I61="oui", '[1]OPE FON'!$I61="Annulé"),'[1]OPE FON'!$G61-'[1]OPE FON'!$H61,"")</f>
        <v/>
      </c>
      <c r="L58" s="44"/>
    </row>
    <row r="59" spans="1:12" ht="19.8" thickTop="1" x14ac:dyDescent="0.45">
      <c r="A59" s="3" t="s">
        <v>15</v>
      </c>
      <c r="B59" s="77" t="s">
        <v>176</v>
      </c>
      <c r="C59" s="37" t="s">
        <v>77</v>
      </c>
      <c r="D59" s="37" t="s">
        <v>80</v>
      </c>
      <c r="E59" s="37"/>
      <c r="F59" s="38">
        <v>213</v>
      </c>
      <c r="G59" s="39">
        <v>611</v>
      </c>
      <c r="H59" s="40">
        <v>3500</v>
      </c>
      <c r="I59" s="41"/>
      <c r="J59" s="37"/>
      <c r="K59" s="42" t="str">
        <f>IF(OR('[1]OPE FON'!$I62="oui", '[1]OPE FON'!$I62="Annulé"),'[1]OPE FON'!$G62-'[1]OPE FON'!$H62,"")</f>
        <v/>
      </c>
      <c r="L59" s="58"/>
    </row>
    <row r="60" spans="1:12" ht="19.2" x14ac:dyDescent="0.45">
      <c r="A60" s="43" t="s">
        <v>15</v>
      </c>
      <c r="B60" s="78"/>
      <c r="C60" s="44" t="s">
        <v>77</v>
      </c>
      <c r="D60" s="44" t="s">
        <v>81</v>
      </c>
      <c r="E60" s="44"/>
      <c r="F60" s="45">
        <v>20</v>
      </c>
      <c r="G60" s="46">
        <v>611</v>
      </c>
      <c r="H60" s="47">
        <v>15000</v>
      </c>
      <c r="I60" s="48"/>
      <c r="J60" s="44"/>
      <c r="K60" s="49" t="str">
        <f>IF(OR('[1]OPE FON'!$I63="oui", '[1]OPE FON'!$I63="Annulé"),'[1]OPE FON'!$G63-'[1]OPE FON'!$H63,"")</f>
        <v/>
      </c>
      <c r="L60" s="44"/>
    </row>
    <row r="61" spans="1:12" ht="19.2" x14ac:dyDescent="0.45">
      <c r="A61" s="57" t="s">
        <v>15</v>
      </c>
      <c r="B61" s="80"/>
      <c r="C61" s="58" t="s">
        <v>77</v>
      </c>
      <c r="D61" s="58" t="s">
        <v>82</v>
      </c>
      <c r="E61" s="58"/>
      <c r="F61" s="59">
        <v>20</v>
      </c>
      <c r="G61" s="60">
        <v>611</v>
      </c>
      <c r="H61" s="61">
        <v>5000</v>
      </c>
      <c r="I61" s="62"/>
      <c r="J61" s="58"/>
      <c r="K61" s="63" t="str">
        <f>IF(OR('[1]OPE FON'!$I64="oui", '[1]OPE FON'!$I64="Annulé"),'[1]OPE FON'!$G64-'[1]OPE FON'!$H64,"")</f>
        <v/>
      </c>
      <c r="L61" s="58"/>
    </row>
    <row r="62" spans="1:12" ht="19.2" x14ac:dyDescent="0.45">
      <c r="A62" s="43" t="s">
        <v>15</v>
      </c>
      <c r="B62" s="78"/>
      <c r="C62" s="44" t="s">
        <v>77</v>
      </c>
      <c r="D62" s="44" t="s">
        <v>83</v>
      </c>
      <c r="E62" s="44"/>
      <c r="F62" s="45">
        <v>20</v>
      </c>
      <c r="G62" s="46">
        <v>611</v>
      </c>
      <c r="H62" s="47">
        <v>10000</v>
      </c>
      <c r="I62" s="48"/>
      <c r="J62" s="44"/>
      <c r="K62" s="49" t="str">
        <f>IF(OR('[1]OPE FON'!$I65="oui", '[1]OPE FON'!$I65="Annulé"),'[1]OPE FON'!$G65-'[1]OPE FON'!$H65,"")</f>
        <v/>
      </c>
      <c r="L62" s="44"/>
    </row>
    <row r="63" spans="1:12" ht="19.8" thickBot="1" x14ac:dyDescent="0.5">
      <c r="A63" s="57" t="s">
        <v>15</v>
      </c>
      <c r="B63" s="80"/>
      <c r="C63" s="58" t="s">
        <v>84</v>
      </c>
      <c r="D63" s="58" t="s">
        <v>85</v>
      </c>
      <c r="E63" s="58"/>
      <c r="F63" s="59">
        <v>20</v>
      </c>
      <c r="G63" s="60">
        <v>617</v>
      </c>
      <c r="H63" s="61">
        <v>500</v>
      </c>
      <c r="I63" s="62"/>
      <c r="J63" s="58"/>
      <c r="K63" s="63" t="str">
        <f>IF(OR('[1]OPE FON'!$I66="oui", '[1]OPE FON'!$I66="Annulé"),'[1]OPE FON'!$G66-'[1]OPE FON'!$H66,"")</f>
        <v/>
      </c>
      <c r="L63" s="58"/>
    </row>
    <row r="64" spans="1:12" ht="19.8" thickTop="1" x14ac:dyDescent="0.45">
      <c r="A64" s="3" t="s">
        <v>15</v>
      </c>
      <c r="B64" s="79" t="s">
        <v>176</v>
      </c>
      <c r="C64" s="51" t="s">
        <v>86</v>
      </c>
      <c r="D64" s="51" t="s">
        <v>87</v>
      </c>
      <c r="E64" s="51"/>
      <c r="F64" s="52">
        <v>213</v>
      </c>
      <c r="G64" s="53">
        <v>617</v>
      </c>
      <c r="H64" s="54">
        <v>1000</v>
      </c>
      <c r="I64" s="55"/>
      <c r="J64" s="51"/>
      <c r="K64" s="56" t="str">
        <f>IF(OR('[1]OPE FON'!$I67="oui", '[1]OPE FON'!$I67="Annulé"),'[1]OPE FON'!$G67-'[1]OPE FON'!$H67,"")</f>
        <v/>
      </c>
      <c r="L64" s="51"/>
    </row>
    <row r="65" spans="1:12" ht="19.8" thickBot="1" x14ac:dyDescent="0.5">
      <c r="A65" s="57" t="s">
        <v>15</v>
      </c>
      <c r="B65" s="80"/>
      <c r="C65" s="58" t="s">
        <v>88</v>
      </c>
      <c r="D65" s="58" t="s">
        <v>89</v>
      </c>
      <c r="E65" s="58"/>
      <c r="F65" s="59">
        <v>20</v>
      </c>
      <c r="G65" s="60">
        <v>6378</v>
      </c>
      <c r="H65" s="61">
        <v>900</v>
      </c>
      <c r="I65" s="62"/>
      <c r="J65" s="58"/>
      <c r="K65" s="63" t="str">
        <f>IF(OR('[1]OPE FON'!$I68="oui", '[1]OPE FON'!$I68="Annulé"),'[1]OPE FON'!$G68-'[1]OPE FON'!$H68,"")</f>
        <v/>
      </c>
      <c r="L65" s="58"/>
    </row>
    <row r="66" spans="1:12" ht="19.8" thickTop="1" x14ac:dyDescent="0.45">
      <c r="A66" s="3" t="s">
        <v>15</v>
      </c>
      <c r="B66" s="79" t="s">
        <v>176</v>
      </c>
      <c r="C66" s="51" t="s">
        <v>90</v>
      </c>
      <c r="D66" s="51" t="s">
        <v>91</v>
      </c>
      <c r="E66" s="51"/>
      <c r="F66" s="52">
        <v>213</v>
      </c>
      <c r="G66" s="53">
        <v>6064</v>
      </c>
      <c r="H66" s="54">
        <v>0</v>
      </c>
      <c r="I66" s="55"/>
      <c r="J66" s="51"/>
      <c r="K66" s="56" t="str">
        <f>IF(OR('[1]OPE FON'!$I69="oui", '[1]OPE FON'!$I69="Annulé"),'[1]OPE FON'!$G69-'[1]OPE FON'!$H69,"")</f>
        <v/>
      </c>
      <c r="L66" s="51"/>
    </row>
    <row r="67" spans="1:12" ht="19.8" thickBot="1" x14ac:dyDescent="0.5">
      <c r="A67" s="57" t="s">
        <v>15</v>
      </c>
      <c r="B67" s="80"/>
      <c r="C67" s="58" t="s">
        <v>92</v>
      </c>
      <c r="D67" s="58" t="s">
        <v>93</v>
      </c>
      <c r="E67" s="58"/>
      <c r="F67" s="59">
        <v>20</v>
      </c>
      <c r="G67" s="60">
        <v>6156</v>
      </c>
      <c r="H67" s="61">
        <v>34000</v>
      </c>
      <c r="I67" s="62"/>
      <c r="J67" s="58"/>
      <c r="K67" s="63" t="str">
        <f>IF(OR('[1]OPE FON'!$I70="oui", '[1]OPE FON'!$I70="Annulé"),'[1]OPE FON'!$G70-'[1]OPE FON'!$H70,"")</f>
        <v/>
      </c>
      <c r="L67" s="58" t="s">
        <v>94</v>
      </c>
    </row>
    <row r="68" spans="1:12" ht="19.8" thickTop="1" x14ac:dyDescent="0.45">
      <c r="A68" s="50" t="s">
        <v>15</v>
      </c>
      <c r="B68" s="79"/>
      <c r="C68" s="51" t="s">
        <v>95</v>
      </c>
      <c r="D68" s="51" t="s">
        <v>96</v>
      </c>
      <c r="E68" s="51"/>
      <c r="F68" s="52">
        <v>20</v>
      </c>
      <c r="G68" s="53">
        <v>6184</v>
      </c>
      <c r="H68" s="54">
        <v>10000</v>
      </c>
      <c r="I68" s="55"/>
      <c r="J68" s="51"/>
      <c r="K68" s="56" t="str">
        <f>IF(OR('[1]OPE FON'!$I71="oui", '[1]OPE FON'!$I71="Annulé"),'[1]OPE FON'!$G71-'[1]OPE FON'!$H71,"")</f>
        <v/>
      </c>
      <c r="L68" s="51"/>
    </row>
    <row r="69" spans="1:12" ht="19.8" thickBot="1" x14ac:dyDescent="0.5">
      <c r="A69" s="57" t="s">
        <v>15</v>
      </c>
      <c r="B69" s="80"/>
      <c r="C69" s="58" t="s">
        <v>97</v>
      </c>
      <c r="D69" s="58" t="s">
        <v>97</v>
      </c>
      <c r="E69" s="58"/>
      <c r="F69" s="59">
        <v>20</v>
      </c>
      <c r="G69" s="60">
        <v>6188</v>
      </c>
      <c r="H69" s="61">
        <v>10000</v>
      </c>
      <c r="I69" s="62"/>
      <c r="J69" s="58"/>
      <c r="K69" s="63" t="str">
        <f>IF(OR('[1]OPE FON'!$I72="oui", '[1]OPE FON'!$I72="Annulé"),'[1]OPE FON'!$G72-'[1]OPE FON'!$H72,"")</f>
        <v/>
      </c>
      <c r="L69" s="58"/>
    </row>
    <row r="70" spans="1:12" ht="19.8" thickTop="1" x14ac:dyDescent="0.45">
      <c r="A70" s="50" t="s">
        <v>15</v>
      </c>
      <c r="B70" s="79"/>
      <c r="C70" s="51" t="s">
        <v>98</v>
      </c>
      <c r="D70" s="51" t="s">
        <v>99</v>
      </c>
      <c r="E70" s="51"/>
      <c r="F70" s="52">
        <v>20</v>
      </c>
      <c r="G70" s="53">
        <v>6241</v>
      </c>
      <c r="H70" s="54">
        <v>800</v>
      </c>
      <c r="I70" s="55"/>
      <c r="J70" s="51"/>
      <c r="K70" s="56" t="str">
        <f>IF(OR('[1]OPE FON'!$I73="oui", '[1]OPE FON'!$I73="Annulé"),'[1]OPE FON'!$G73-'[1]OPE FON'!$H73,"")</f>
        <v/>
      </c>
      <c r="L70" s="51"/>
    </row>
    <row r="71" spans="1:12" ht="19.2" x14ac:dyDescent="0.45">
      <c r="A71" s="57" t="s">
        <v>15</v>
      </c>
      <c r="B71" s="80"/>
      <c r="C71" s="58" t="s">
        <v>100</v>
      </c>
      <c r="D71" s="58" t="s">
        <v>101</v>
      </c>
      <c r="E71" s="58"/>
      <c r="F71" s="59">
        <v>20</v>
      </c>
      <c r="G71" s="60">
        <v>6281</v>
      </c>
      <c r="H71" s="61">
        <v>20000</v>
      </c>
      <c r="I71" s="62"/>
      <c r="J71" s="58"/>
      <c r="K71" s="63" t="str">
        <f>IF(OR('[1]OPE FON'!$I74="oui", '[1]OPE FON'!$I74="Annulé"),'[1]OPE FON'!$G74-'[1]OPE FON'!$H74,"")</f>
        <v/>
      </c>
      <c r="L71" s="58" t="s">
        <v>102</v>
      </c>
    </row>
    <row r="72" spans="1:12" ht="19.8" thickBot="1" x14ac:dyDescent="0.5">
      <c r="A72" s="3" t="s">
        <v>15</v>
      </c>
      <c r="B72" s="78" t="s">
        <v>176</v>
      </c>
      <c r="C72" s="44" t="s">
        <v>103</v>
      </c>
      <c r="D72" s="44" t="s">
        <v>104</v>
      </c>
      <c r="E72" s="44"/>
      <c r="F72" s="45">
        <v>213</v>
      </c>
      <c r="G72" s="46">
        <v>60632</v>
      </c>
      <c r="H72" s="47">
        <v>5000</v>
      </c>
      <c r="I72" s="48"/>
      <c r="J72" s="44"/>
      <c r="K72" s="49" t="str">
        <f>IF(OR('[1]OPE FON'!$I75="oui", '[1]OPE FON'!$I75="Annulé"),'[1]OPE FON'!$G75-'[1]OPE FON'!$H75,"")</f>
        <v/>
      </c>
      <c r="L72" s="44" t="s">
        <v>105</v>
      </c>
    </row>
    <row r="73" spans="1:12" ht="20.399999999999999" thickTop="1" thickBot="1" x14ac:dyDescent="0.5">
      <c r="A73" s="3" t="s">
        <v>15</v>
      </c>
      <c r="B73" s="81" t="s">
        <v>176</v>
      </c>
      <c r="C73" s="58" t="s">
        <v>106</v>
      </c>
      <c r="D73" s="37" t="s">
        <v>107</v>
      </c>
      <c r="E73" s="37"/>
      <c r="F73" s="38">
        <v>213</v>
      </c>
      <c r="G73" s="39">
        <v>65811</v>
      </c>
      <c r="H73" s="40">
        <v>14000</v>
      </c>
      <c r="I73" s="41"/>
      <c r="J73" s="37"/>
      <c r="K73" s="42" t="str">
        <f>IF(OR('[1]OPE FON'!$I76="oui", '[1]OPE FON'!$I76="Annulé"),'[1]OPE FON'!$G76-'[1]OPE FON'!$H76,"")</f>
        <v/>
      </c>
      <c r="L73" s="37" t="s">
        <v>108</v>
      </c>
    </row>
    <row r="74" spans="1:12" ht="20.399999999999999" thickTop="1" thickBot="1" x14ac:dyDescent="0.5">
      <c r="A74" s="43" t="s">
        <v>15</v>
      </c>
      <c r="B74" s="82" t="s">
        <v>175</v>
      </c>
      <c r="C74" s="51" t="s">
        <v>109</v>
      </c>
      <c r="D74" s="51" t="s">
        <v>110</v>
      </c>
      <c r="E74" s="84"/>
      <c r="F74" s="45">
        <v>20</v>
      </c>
      <c r="G74" s="46">
        <v>6156</v>
      </c>
      <c r="H74" s="47">
        <v>8000</v>
      </c>
      <c r="I74" s="48"/>
      <c r="J74" s="44"/>
      <c r="K74" s="49" t="str">
        <f>IF(OR('[1]OPE FON'!$I77="oui", '[1]OPE FON'!$I77="Annulé"),'[1]OPE FON'!$G77-'[1]OPE FON'!$H77,"")</f>
        <v/>
      </c>
      <c r="L74" s="44" t="s">
        <v>111</v>
      </c>
    </row>
    <row r="75" spans="1:12" ht="20.399999999999999" thickTop="1" thickBot="1" x14ac:dyDescent="0.5">
      <c r="A75" s="43" t="s">
        <v>15</v>
      </c>
      <c r="B75" s="81" t="s">
        <v>175</v>
      </c>
      <c r="C75" s="37" t="s">
        <v>77</v>
      </c>
      <c r="D75" s="37" t="s">
        <v>112</v>
      </c>
      <c r="E75" s="85"/>
      <c r="F75" s="59">
        <v>20</v>
      </c>
      <c r="G75" s="60">
        <v>611</v>
      </c>
      <c r="H75" s="61">
        <v>15000</v>
      </c>
      <c r="I75" s="62"/>
      <c r="J75" s="58"/>
      <c r="K75" s="63" t="str">
        <f>IF(OR('[1]OPE FON'!$I78="oui", '[1]OPE FON'!$I78="Annulé"),'[1]OPE FON'!$G78-'[1]OPE FON'!$H78,"")</f>
        <v/>
      </c>
      <c r="L75" s="58"/>
    </row>
    <row r="76" spans="1:12" ht="19.8" thickTop="1" x14ac:dyDescent="0.45">
      <c r="A76" s="43" t="s">
        <v>15</v>
      </c>
      <c r="B76" s="82" t="s">
        <v>175</v>
      </c>
      <c r="C76" s="51" t="s">
        <v>113</v>
      </c>
      <c r="D76" s="51" t="s">
        <v>114</v>
      </c>
      <c r="E76" s="84"/>
      <c r="F76" s="45">
        <v>20</v>
      </c>
      <c r="G76" s="46">
        <v>65811</v>
      </c>
      <c r="H76" s="47">
        <v>120000</v>
      </c>
      <c r="I76" s="48"/>
      <c r="J76" s="44"/>
      <c r="K76" s="49" t="str">
        <f>IF(OR('[1]OPE FON'!$I79="oui", '[1]OPE FON'!$I79="Annulé"),'[1]OPE FON'!$G79-'[1]OPE FON'!$H79,"")</f>
        <v/>
      </c>
      <c r="L76" s="44" t="s">
        <v>115</v>
      </c>
    </row>
    <row r="77" spans="1:12" ht="19.8" thickBot="1" x14ac:dyDescent="0.5">
      <c r="A77" s="43" t="s">
        <v>15</v>
      </c>
      <c r="B77" s="80" t="s">
        <v>175</v>
      </c>
      <c r="C77" s="58" t="s">
        <v>77</v>
      </c>
      <c r="D77" s="58" t="s">
        <v>116</v>
      </c>
      <c r="E77" s="58"/>
      <c r="F77" s="59">
        <v>20</v>
      </c>
      <c r="G77" s="60">
        <v>611</v>
      </c>
      <c r="H77" s="61">
        <v>13500</v>
      </c>
      <c r="I77" s="62"/>
      <c r="J77" s="58"/>
      <c r="K77" s="63" t="str">
        <f>IF(OR('[1]OPE FON'!$I80="oui", '[1]OPE FON'!$I80="Annulé"),'[1]OPE FON'!$G80-'[1]OPE FON'!$H80,"")</f>
        <v/>
      </c>
      <c r="L77" s="58"/>
    </row>
    <row r="78" spans="1:12" ht="19.8" thickTop="1" x14ac:dyDescent="0.45">
      <c r="A78" s="50"/>
      <c r="B78" s="79"/>
      <c r="C78" s="51"/>
      <c r="D78" s="51" t="s">
        <v>35</v>
      </c>
      <c r="E78" s="51"/>
      <c r="F78" s="52"/>
      <c r="G78" s="53"/>
      <c r="H78" s="54"/>
      <c r="I78" s="55"/>
      <c r="J78" s="51"/>
      <c r="K78" s="56"/>
      <c r="L78" s="51"/>
    </row>
    <row r="79" spans="1:12" ht="19.8" thickBot="1" x14ac:dyDescent="0.5">
      <c r="A79" s="57" t="s">
        <v>12</v>
      </c>
      <c r="B79" s="80"/>
      <c r="C79" s="58" t="s">
        <v>117</v>
      </c>
      <c r="D79" s="58" t="s">
        <v>118</v>
      </c>
      <c r="E79" s="58"/>
      <c r="F79" s="59">
        <v>20</v>
      </c>
      <c r="G79" s="60">
        <v>60632</v>
      </c>
      <c r="H79" s="61">
        <v>10000</v>
      </c>
      <c r="I79" s="62"/>
      <c r="J79" s="58"/>
      <c r="K79" s="63" t="str">
        <f>IF(OR('[1]OPE FON'!$I82="oui", '[1]OPE FON'!$I82="Annulé"),'[1]OPE FON'!$G82-'[1]OPE FON'!$H82,"")</f>
        <v/>
      </c>
      <c r="L79" s="58"/>
    </row>
    <row r="80" spans="1:12" ht="19.8" thickTop="1" x14ac:dyDescent="0.45">
      <c r="A80" s="43" t="s">
        <v>12</v>
      </c>
      <c r="B80" s="82"/>
      <c r="C80" s="51" t="s">
        <v>119</v>
      </c>
      <c r="D80" s="51" t="s">
        <v>120</v>
      </c>
      <c r="E80" s="51"/>
      <c r="F80" s="52">
        <v>20</v>
      </c>
      <c r="G80" s="53">
        <v>611</v>
      </c>
      <c r="H80" s="54">
        <v>20000</v>
      </c>
      <c r="I80" s="55"/>
      <c r="J80" s="51"/>
      <c r="K80" s="56" t="str">
        <f>IF(OR('[1]OPE FON'!$I83="oui", '[1]OPE FON'!$I83="Annulé"),'[1]OPE FON'!$G83-'[1]OPE FON'!$H83,"")</f>
        <v/>
      </c>
      <c r="L80" s="51"/>
    </row>
    <row r="81" spans="1:12" ht="19.8" thickBot="1" x14ac:dyDescent="0.5">
      <c r="A81" s="57" t="s">
        <v>12</v>
      </c>
      <c r="B81" s="80"/>
      <c r="C81" s="58" t="s">
        <v>121</v>
      </c>
      <c r="D81" s="58" t="s">
        <v>122</v>
      </c>
      <c r="E81" s="58"/>
      <c r="F81" s="59">
        <v>20</v>
      </c>
      <c r="G81" s="60">
        <v>6156</v>
      </c>
      <c r="H81" s="61">
        <v>30000</v>
      </c>
      <c r="I81" s="62"/>
      <c r="J81" s="58"/>
      <c r="K81" s="63" t="str">
        <f>IF(OR('[1]OPE FON'!$I84="oui", '[1]OPE FON'!$I84="Annulé"),'[1]OPE FON'!$G84-'[1]OPE FON'!$H84,"")</f>
        <v/>
      </c>
      <c r="L81" s="58" t="s">
        <v>123</v>
      </c>
    </row>
    <row r="82" spans="1:12" ht="19.8" thickTop="1" x14ac:dyDescent="0.45">
      <c r="A82" s="43" t="s">
        <v>12</v>
      </c>
      <c r="B82" s="82"/>
      <c r="C82" s="51" t="s">
        <v>124</v>
      </c>
      <c r="D82" s="51" t="s">
        <v>125</v>
      </c>
      <c r="E82" s="51"/>
      <c r="F82" s="52">
        <v>20</v>
      </c>
      <c r="G82" s="53">
        <v>6188</v>
      </c>
      <c r="H82" s="54">
        <v>10000</v>
      </c>
      <c r="I82" s="55"/>
      <c r="J82" s="51"/>
      <c r="K82" s="56" t="str">
        <f>IF(OR('[1]OPE FON'!$I85="oui", '[1]OPE FON'!$I85="Annulé"),'[1]OPE FON'!$G85-'[1]OPE FON'!$H85,"")</f>
        <v/>
      </c>
      <c r="L82" s="51" t="s">
        <v>126</v>
      </c>
    </row>
    <row r="83" spans="1:12" ht="19.8" thickBot="1" x14ac:dyDescent="0.5">
      <c r="A83" s="57" t="s">
        <v>12</v>
      </c>
      <c r="B83" s="80"/>
      <c r="C83" s="58" t="s">
        <v>127</v>
      </c>
      <c r="D83" s="58" t="s">
        <v>127</v>
      </c>
      <c r="E83" s="58"/>
      <c r="F83" s="59">
        <v>20</v>
      </c>
      <c r="G83" s="60">
        <v>6283</v>
      </c>
      <c r="H83" s="61">
        <v>2500</v>
      </c>
      <c r="I83" s="62"/>
      <c r="J83" s="58"/>
      <c r="K83" s="63" t="str">
        <f>IF(OR('[1]OPE FON'!$I86="oui", '[1]OPE FON'!$I86="Annulé"),'[1]OPE FON'!$G86-'[1]OPE FON'!$H86,"")</f>
        <v/>
      </c>
      <c r="L83" s="58"/>
    </row>
    <row r="84" spans="1:12" ht="20.399999999999999" thickTop="1" thickBot="1" x14ac:dyDescent="0.5">
      <c r="A84" s="43" t="s">
        <v>12</v>
      </c>
      <c r="B84" s="82"/>
      <c r="C84" s="51" t="s">
        <v>106</v>
      </c>
      <c r="D84" s="51" t="s">
        <v>128</v>
      </c>
      <c r="E84" s="51"/>
      <c r="F84" s="52">
        <v>20</v>
      </c>
      <c r="G84" s="53">
        <v>65811</v>
      </c>
      <c r="H84" s="54">
        <v>40000</v>
      </c>
      <c r="I84" s="55"/>
      <c r="J84" s="51"/>
      <c r="K84" s="56" t="str">
        <f>IF(OR('[1]OPE FON'!$I87="oui", '[1]OPE FON'!$I87="Annulé"),'[1]OPE FON'!$G87-'[1]OPE FON'!$H87,"")</f>
        <v/>
      </c>
      <c r="L84" s="51" t="s">
        <v>129</v>
      </c>
    </row>
    <row r="85" spans="1:12" ht="20.399999999999999" thickTop="1" thickBot="1" x14ac:dyDescent="0.5">
      <c r="A85" s="57" t="s">
        <v>12</v>
      </c>
      <c r="B85" s="81"/>
      <c r="C85" s="37" t="s">
        <v>130</v>
      </c>
      <c r="D85" s="37" t="s">
        <v>131</v>
      </c>
      <c r="E85" s="37"/>
      <c r="F85" s="38">
        <v>20</v>
      </c>
      <c r="G85" s="39">
        <v>6156</v>
      </c>
      <c r="H85" s="40">
        <v>15000</v>
      </c>
      <c r="I85" s="41"/>
      <c r="J85" s="37"/>
      <c r="K85" s="42" t="str">
        <f>IF(OR('[1]OPE FON'!$I88="oui", '[1]OPE FON'!$I88="Annulé"),'[1]OPE FON'!$G88-'[1]OPE FON'!$H88,"")</f>
        <v/>
      </c>
      <c r="L85" s="37" t="s">
        <v>132</v>
      </c>
    </row>
    <row r="86" spans="1:12" ht="20.399999999999999" thickTop="1" thickBot="1" x14ac:dyDescent="0.5">
      <c r="A86" s="43" t="s">
        <v>12</v>
      </c>
      <c r="B86" s="82"/>
      <c r="C86" s="64" t="s">
        <v>133</v>
      </c>
      <c r="D86" s="65" t="s">
        <v>134</v>
      </c>
      <c r="E86" s="65"/>
      <c r="F86" s="45">
        <v>20</v>
      </c>
      <c r="G86" s="46">
        <v>61358</v>
      </c>
      <c r="H86" s="47">
        <v>0</v>
      </c>
      <c r="I86" s="48"/>
      <c r="J86" s="44"/>
      <c r="K86" s="49" t="str">
        <f>IF(OR('[1]OPE FON'!$I89="oui", '[1]OPE FON'!$I89="Annulé"),'[1]OPE FON'!$G89-'[1]OPE FON'!$H89,"")</f>
        <v/>
      </c>
      <c r="L86" s="44" t="s">
        <v>135</v>
      </c>
    </row>
    <row r="87" spans="1:12" ht="20.399999999999999" thickTop="1" thickBot="1" x14ac:dyDescent="0.5">
      <c r="A87" s="50" t="s">
        <v>47</v>
      </c>
      <c r="B87" s="79"/>
      <c r="C87" s="51" t="s">
        <v>119</v>
      </c>
      <c r="D87" s="51" t="s">
        <v>119</v>
      </c>
      <c r="E87" s="51"/>
      <c r="F87" s="52">
        <v>20</v>
      </c>
      <c r="G87" s="53">
        <v>611</v>
      </c>
      <c r="H87" s="54">
        <v>60000</v>
      </c>
      <c r="I87" s="55"/>
      <c r="J87" s="51"/>
      <c r="K87" s="56" t="str">
        <f>IF(OR('[1]OPE FON'!$I91="oui", '[1]OPE FON'!$I91="Annulé"),'[1]OPE FON'!$G91-'[1]OPE FON'!$H91,"")</f>
        <v/>
      </c>
      <c r="L87" s="51" t="s">
        <v>136</v>
      </c>
    </row>
    <row r="88" spans="1:12" ht="19.8" thickTop="1" x14ac:dyDescent="0.45">
      <c r="A88" s="36" t="s">
        <v>47</v>
      </c>
      <c r="B88" s="77"/>
      <c r="C88" s="37" t="s">
        <v>92</v>
      </c>
      <c r="D88" s="37" t="s">
        <v>137</v>
      </c>
      <c r="E88" s="37"/>
      <c r="F88" s="38" t="s">
        <v>138</v>
      </c>
      <c r="G88" s="39">
        <v>6156</v>
      </c>
      <c r="H88" s="40">
        <v>164500</v>
      </c>
      <c r="I88" s="41"/>
      <c r="J88" s="37"/>
      <c r="K88" s="42" t="str">
        <f>IF(OR('[1]OPE FON'!$I92="oui", '[1]OPE FON'!$I92="Annulé"),'[1]OPE FON'!$G92-'[1]OPE FON'!$H92,"")</f>
        <v/>
      </c>
      <c r="L88" s="37" t="s">
        <v>139</v>
      </c>
    </row>
    <row r="89" spans="1:12" ht="19.2" x14ac:dyDescent="0.45">
      <c r="A89" s="43" t="s">
        <v>47</v>
      </c>
      <c r="B89" s="78"/>
      <c r="C89" s="44" t="s">
        <v>92</v>
      </c>
      <c r="D89" s="44" t="s">
        <v>140</v>
      </c>
      <c r="E89" s="44"/>
      <c r="F89" s="45">
        <v>20</v>
      </c>
      <c r="G89" s="46">
        <v>6156</v>
      </c>
      <c r="H89" s="47">
        <v>25000</v>
      </c>
      <c r="I89" s="48"/>
      <c r="J89" s="44"/>
      <c r="K89" s="49" t="str">
        <f>IF(OR('[1]OPE FON'!$I93="oui", '[1]OPE FON'!$I93="Annulé"),'[1]OPE FON'!$G93-'[1]OPE FON'!$H93,"")</f>
        <v/>
      </c>
      <c r="L89" s="44"/>
    </row>
    <row r="90" spans="1:12" ht="19.2" x14ac:dyDescent="0.45">
      <c r="A90" s="57" t="s">
        <v>47</v>
      </c>
      <c r="B90" s="80"/>
      <c r="C90" s="58" t="s">
        <v>77</v>
      </c>
      <c r="D90" s="58" t="s">
        <v>141</v>
      </c>
      <c r="E90" s="58"/>
      <c r="F90" s="59">
        <v>20</v>
      </c>
      <c r="G90" s="60">
        <v>611</v>
      </c>
      <c r="H90" s="61">
        <v>60000</v>
      </c>
      <c r="I90" s="62"/>
      <c r="J90" s="58"/>
      <c r="K90" s="63" t="str">
        <f>IF(OR('[1]OPE FON'!$I94="oui", '[1]OPE FON'!$I94="Annulé"),'[1]OPE FON'!$G94-'[1]OPE FON'!$H94,"")</f>
        <v/>
      </c>
      <c r="L90" s="58"/>
    </row>
    <row r="91" spans="1:12" ht="19.8" thickBot="1" x14ac:dyDescent="0.5">
      <c r="A91" s="43" t="s">
        <v>47</v>
      </c>
      <c r="B91" s="78"/>
      <c r="C91" s="44" t="s">
        <v>95</v>
      </c>
      <c r="D91" s="44" t="s">
        <v>142</v>
      </c>
      <c r="E91" s="44"/>
      <c r="F91" s="45">
        <v>20</v>
      </c>
      <c r="G91" s="46">
        <v>6184</v>
      </c>
      <c r="H91" s="47">
        <v>40000</v>
      </c>
      <c r="I91" s="48"/>
      <c r="J91" s="44"/>
      <c r="K91" s="49" t="str">
        <f>IF(OR('[1]OPE FON'!$I95="oui", '[1]OPE FON'!$I95="Annulé"),'[1]OPE FON'!$G95-'[1]OPE FON'!$H95,"")</f>
        <v/>
      </c>
      <c r="L91" s="44" t="s">
        <v>143</v>
      </c>
    </row>
    <row r="92" spans="1:12" ht="20.399999999999999" thickTop="1" thickBot="1" x14ac:dyDescent="0.5">
      <c r="A92" s="36" t="s">
        <v>47</v>
      </c>
      <c r="B92" s="77"/>
      <c r="C92" s="37" t="s">
        <v>124</v>
      </c>
      <c r="D92" s="37" t="s">
        <v>144</v>
      </c>
      <c r="E92" s="37"/>
      <c r="F92" s="38">
        <v>20</v>
      </c>
      <c r="G92" s="39">
        <v>6188</v>
      </c>
      <c r="H92" s="40">
        <v>20000</v>
      </c>
      <c r="I92" s="41"/>
      <c r="J92" s="37"/>
      <c r="K92" s="42" t="str">
        <f>IF(OR('[1]OPE FON'!$I96="oui", '[1]OPE FON'!$I96="Annulé"),'[1]OPE FON'!$G96-'[1]OPE FON'!$H96,"")</f>
        <v/>
      </c>
      <c r="L92" s="37" t="s">
        <v>145</v>
      </c>
    </row>
    <row r="93" spans="1:12" ht="20.399999999999999" thickTop="1" thickBot="1" x14ac:dyDescent="0.5">
      <c r="A93" s="50" t="s">
        <v>47</v>
      </c>
      <c r="B93" s="79"/>
      <c r="C93" s="51" t="s">
        <v>106</v>
      </c>
      <c r="D93" s="51" t="s">
        <v>146</v>
      </c>
      <c r="E93" s="51"/>
      <c r="F93" s="52">
        <v>20</v>
      </c>
      <c r="G93" s="53">
        <v>65811</v>
      </c>
      <c r="H93" s="54">
        <v>10000</v>
      </c>
      <c r="I93" s="55"/>
      <c r="J93" s="51"/>
      <c r="K93" s="56" t="str">
        <f>IF(OR('[1]OPE FON'!$I97="oui", '[1]OPE FON'!$I97="Annulé"),'[1]OPE FON'!$G97-'[1]OPE FON'!$H97,"")</f>
        <v/>
      </c>
      <c r="L93" s="51"/>
    </row>
    <row r="94" spans="1:12" ht="20.399999999999999" thickTop="1" thickBot="1" x14ac:dyDescent="0.5">
      <c r="A94" s="36" t="s">
        <v>47</v>
      </c>
      <c r="B94" s="77"/>
      <c r="C94" s="37" t="s">
        <v>106</v>
      </c>
      <c r="D94" s="37" t="s">
        <v>147</v>
      </c>
      <c r="E94" s="37"/>
      <c r="F94" s="38"/>
      <c r="G94" s="39">
        <v>6512</v>
      </c>
      <c r="H94" s="40">
        <v>300</v>
      </c>
      <c r="I94" s="41"/>
      <c r="J94" s="37"/>
      <c r="K94" s="42" t="str">
        <f>IF(OR('[1]OPE FON'!$I98="oui", '[1]OPE FON'!$I98="Annulé"),'[1]OPE FON'!$G98-'[1]OPE FON'!$H98,"")</f>
        <v/>
      </c>
      <c r="L94" s="37"/>
    </row>
    <row r="95" spans="1:12" ht="20.399999999999999" thickTop="1" thickBot="1" x14ac:dyDescent="0.5">
      <c r="A95" s="50" t="s">
        <v>47</v>
      </c>
      <c r="B95" s="79"/>
      <c r="C95" s="51" t="s">
        <v>106</v>
      </c>
      <c r="D95" s="51" t="s">
        <v>148</v>
      </c>
      <c r="E95" s="51"/>
      <c r="F95" s="52">
        <v>20</v>
      </c>
      <c r="G95" s="53">
        <v>65811</v>
      </c>
      <c r="H95" s="54">
        <v>30000</v>
      </c>
      <c r="I95" s="55"/>
      <c r="J95" s="51"/>
      <c r="K95" s="56" t="str">
        <f>IF(OR('[1]OPE FON'!$I99="oui", '[1]OPE FON'!$I99="Annulé"),'[1]OPE FON'!$G99-'[1]OPE FON'!$H99,"")</f>
        <v/>
      </c>
      <c r="L95" s="51" t="s">
        <v>149</v>
      </c>
    </row>
    <row r="96" spans="1:12" ht="20.399999999999999" thickTop="1" thickBot="1" x14ac:dyDescent="0.5">
      <c r="A96" s="36" t="s">
        <v>47</v>
      </c>
      <c r="B96" s="77"/>
      <c r="C96" s="37" t="s">
        <v>106</v>
      </c>
      <c r="D96" s="37" t="s">
        <v>150</v>
      </c>
      <c r="E96" s="37"/>
      <c r="F96" s="38">
        <v>414</v>
      </c>
      <c r="G96" s="39">
        <v>65818</v>
      </c>
      <c r="H96" s="40">
        <v>90000</v>
      </c>
      <c r="I96" s="41"/>
      <c r="J96" s="37"/>
      <c r="K96" s="42" t="str">
        <f>IF(OR('[1]OPE FON'!$I100="oui", '[1]OPE FON'!$I100="Annulé"),'[1]OPE FON'!$G100-'[1]OPE FON'!$H100,"")</f>
        <v/>
      </c>
      <c r="L96" s="37" t="s">
        <v>151</v>
      </c>
    </row>
    <row r="97" spans="1:12" ht="20.399999999999999" thickTop="1" thickBot="1" x14ac:dyDescent="0.5">
      <c r="A97" s="50" t="s">
        <v>47</v>
      </c>
      <c r="B97" s="79"/>
      <c r="C97" s="51" t="s">
        <v>113</v>
      </c>
      <c r="D97" s="51" t="s">
        <v>152</v>
      </c>
      <c r="E97" s="51"/>
      <c r="F97" s="52"/>
      <c r="G97" s="53">
        <v>65818</v>
      </c>
      <c r="H97" s="54">
        <v>20000</v>
      </c>
      <c r="I97" s="55"/>
      <c r="J97" s="51"/>
      <c r="K97" s="56" t="str">
        <f>IF(OR('[1]OPE FON'!$I101="oui", '[1]OPE FON'!$I101="Annulé"),'[1]OPE FON'!$G101-'[1]OPE FON'!$H101,"")</f>
        <v/>
      </c>
      <c r="L97" s="51"/>
    </row>
    <row r="98" spans="1:12" ht="19.8" thickTop="1" x14ac:dyDescent="0.45">
      <c r="A98" s="36" t="s">
        <v>47</v>
      </c>
      <c r="B98" s="77"/>
      <c r="C98" s="37" t="s">
        <v>113</v>
      </c>
      <c r="D98" s="37" t="s">
        <v>153</v>
      </c>
      <c r="E98" s="37"/>
      <c r="F98" s="38" t="s">
        <v>138</v>
      </c>
      <c r="G98" s="39">
        <v>65818</v>
      </c>
      <c r="H98" s="40">
        <v>162000</v>
      </c>
      <c r="I98" s="41"/>
      <c r="J98" s="37"/>
      <c r="K98" s="42" t="str">
        <f>IF(OR('[1]OPE FON'!$I102="oui", '[1]OPE FON'!$I102="Annulé"),'[1]OPE FON'!$G102-'[1]OPE FON'!$H102,"")</f>
        <v/>
      </c>
      <c r="L98" s="37" t="s">
        <v>154</v>
      </c>
    </row>
    <row r="99" spans="1:12" ht="19.8" thickBot="1" x14ac:dyDescent="0.5">
      <c r="A99" s="43" t="s">
        <v>47</v>
      </c>
      <c r="B99" s="78"/>
      <c r="C99" s="44" t="s">
        <v>155</v>
      </c>
      <c r="D99" s="44" t="s">
        <v>155</v>
      </c>
      <c r="E99" s="44"/>
      <c r="F99" s="45"/>
      <c r="G99" s="46">
        <v>6156</v>
      </c>
      <c r="H99" s="47">
        <v>200</v>
      </c>
      <c r="I99" s="48"/>
      <c r="J99" s="44"/>
      <c r="K99" s="49" t="str">
        <f>IF(OR('[1]OPE FON'!$I103="oui", '[1]OPE FON'!$I103="Annulé"),'[1]OPE FON'!$G103-'[1]OPE FON'!$H103,"")</f>
        <v/>
      </c>
      <c r="L99" s="44"/>
    </row>
    <row r="100" spans="1:12" ht="20.399999999999999" thickTop="1" thickBot="1" x14ac:dyDescent="0.5">
      <c r="A100" s="36" t="s">
        <v>47</v>
      </c>
      <c r="B100" s="77"/>
      <c r="C100" s="37" t="s">
        <v>156</v>
      </c>
      <c r="D100" s="37" t="s">
        <v>156</v>
      </c>
      <c r="E100" s="37"/>
      <c r="F100" s="38"/>
      <c r="G100" s="39">
        <v>6156</v>
      </c>
      <c r="H100" s="40">
        <v>2300</v>
      </c>
      <c r="I100" s="41"/>
      <c r="J100" s="37"/>
      <c r="K100" s="42" t="str">
        <f>IF(OR('[1]OPE FON'!$I104="oui", '[1]OPE FON'!$I104="Annulé"),'[1]OPE FON'!$G104-'[1]OPE FON'!$H104,"")</f>
        <v/>
      </c>
      <c r="L100" s="37"/>
    </row>
    <row r="101" spans="1:12" ht="19.8" thickTop="1" x14ac:dyDescent="0.45">
      <c r="A101" s="36" t="s">
        <v>36</v>
      </c>
      <c r="B101" s="77"/>
      <c r="C101" s="37" t="s">
        <v>157</v>
      </c>
      <c r="D101" s="37" t="s">
        <v>158</v>
      </c>
      <c r="E101" s="37"/>
      <c r="F101" s="38">
        <v>20</v>
      </c>
      <c r="G101" s="39">
        <v>60632</v>
      </c>
      <c r="H101" s="40">
        <v>20000</v>
      </c>
      <c r="I101" s="41"/>
      <c r="J101" s="37"/>
      <c r="K101" s="42" t="str">
        <f>IF(OR('[1]OPE FON'!$I106="oui", '[1]OPE FON'!$I106="Annulé"),'[1]OPE FON'!$G106-'[1]OPE FON'!$H106,"")</f>
        <v/>
      </c>
      <c r="L101" s="37"/>
    </row>
    <row r="102" spans="1:12" ht="19.2" x14ac:dyDescent="0.45">
      <c r="A102" s="43" t="s">
        <v>36</v>
      </c>
      <c r="B102" s="78"/>
      <c r="C102" s="44" t="s">
        <v>159</v>
      </c>
      <c r="D102" s="44" t="s">
        <v>159</v>
      </c>
      <c r="E102" s="44"/>
      <c r="F102" s="45">
        <v>20</v>
      </c>
      <c r="G102" s="46">
        <v>6064</v>
      </c>
      <c r="H102" s="47">
        <v>62000</v>
      </c>
      <c r="I102" s="48"/>
      <c r="J102" s="44"/>
      <c r="K102" s="49" t="str">
        <f>IF(OR('[1]OPE FON'!$I107="oui", '[1]OPE FON'!$I107="Annulé"),'[1]OPE FON'!$G107-'[1]OPE FON'!$H107,"")</f>
        <v/>
      </c>
      <c r="L102" s="44"/>
    </row>
    <row r="103" spans="1:12" ht="19.8" thickBot="1" x14ac:dyDescent="0.5">
      <c r="A103" s="57" t="s">
        <v>36</v>
      </c>
      <c r="B103" s="80"/>
      <c r="C103" s="58" t="s">
        <v>159</v>
      </c>
      <c r="D103" s="58" t="s">
        <v>160</v>
      </c>
      <c r="E103" s="58"/>
      <c r="F103" s="59"/>
      <c r="G103" s="60">
        <v>6064</v>
      </c>
      <c r="H103" s="61">
        <v>1000</v>
      </c>
      <c r="I103" s="62"/>
      <c r="J103" s="58"/>
      <c r="K103" s="63" t="str">
        <f>IF(OR('[1]OPE FON'!$I108="oui", '[1]OPE FON'!$I108="Annulé"),'[1]OPE FON'!$G108-'[1]OPE FON'!$H108,"")</f>
        <v/>
      </c>
      <c r="L103" s="58"/>
    </row>
    <row r="104" spans="1:12" ht="20.399999999999999" thickTop="1" thickBot="1" x14ac:dyDescent="0.5">
      <c r="A104" s="50" t="s">
        <v>36</v>
      </c>
      <c r="B104" s="79"/>
      <c r="C104" s="51" t="s">
        <v>119</v>
      </c>
      <c r="D104" s="51" t="s">
        <v>161</v>
      </c>
      <c r="E104" s="51"/>
      <c r="F104" s="52">
        <v>20</v>
      </c>
      <c r="G104" s="53">
        <v>611</v>
      </c>
      <c r="H104" s="54">
        <v>10000</v>
      </c>
      <c r="I104" s="55"/>
      <c r="J104" s="51"/>
      <c r="K104" s="56" t="str">
        <f>IF(OR('[1]OPE FON'!$I109="oui", '[1]OPE FON'!$I109="Annulé"),'[1]OPE FON'!$G109-'[1]OPE FON'!$H109,"")</f>
        <v/>
      </c>
      <c r="L104" s="51"/>
    </row>
    <row r="105" spans="1:12" ht="19.8" thickTop="1" x14ac:dyDescent="0.45">
      <c r="A105" s="36" t="s">
        <v>36</v>
      </c>
      <c r="B105" s="77"/>
      <c r="C105" s="66" t="s">
        <v>162</v>
      </c>
      <c r="D105" s="67" t="s">
        <v>162</v>
      </c>
      <c r="E105" s="67"/>
      <c r="F105" s="59">
        <v>20</v>
      </c>
      <c r="G105" s="60">
        <v>61558</v>
      </c>
      <c r="H105" s="61">
        <v>0</v>
      </c>
      <c r="I105" s="62"/>
      <c r="J105" s="58"/>
      <c r="K105" s="63" t="str">
        <f>IF(OR('[1]OPE FON'!$I110="oui", '[1]OPE FON'!$I110="Annulé"),'[1]OPE FON'!$G110-'[1]OPE FON'!$H110,"")</f>
        <v/>
      </c>
      <c r="L105" s="58"/>
    </row>
    <row r="106" spans="1:12" ht="19.8" thickBot="1" x14ac:dyDescent="0.5">
      <c r="A106" s="43" t="s">
        <v>36</v>
      </c>
      <c r="B106" s="78"/>
      <c r="C106" s="44" t="s">
        <v>92</v>
      </c>
      <c r="D106" s="44" t="s">
        <v>163</v>
      </c>
      <c r="E106" s="44"/>
      <c r="F106" s="45">
        <v>20</v>
      </c>
      <c r="G106" s="46">
        <v>6156</v>
      </c>
      <c r="H106" s="47">
        <v>9000</v>
      </c>
      <c r="I106" s="48"/>
      <c r="J106" s="44"/>
      <c r="K106" s="49" t="str">
        <f>IF(OR('[1]OPE FON'!$I111="oui", '[1]OPE FON'!$I111="Annulé"),'[1]OPE FON'!$G111-'[1]OPE FON'!$H111,"")</f>
        <v/>
      </c>
      <c r="L106" s="44" t="s">
        <v>164</v>
      </c>
    </row>
    <row r="107" spans="1:12" ht="19.8" thickTop="1" x14ac:dyDescent="0.45">
      <c r="A107" s="36" t="s">
        <v>36</v>
      </c>
      <c r="B107" s="77"/>
      <c r="C107" s="37" t="s">
        <v>106</v>
      </c>
      <c r="D107" s="37" t="s">
        <v>165</v>
      </c>
      <c r="E107" s="37"/>
      <c r="F107" s="38">
        <v>20</v>
      </c>
      <c r="G107" s="39">
        <v>65811</v>
      </c>
      <c r="H107" s="40">
        <v>3500</v>
      </c>
      <c r="I107" s="41"/>
      <c r="J107" s="37"/>
      <c r="K107" s="42" t="str">
        <f>IF(OR('[1]OPE FON'!$I112="oui", '[1]OPE FON'!$I112="Annulé"),'[1]OPE FON'!$G112-'[1]OPE FON'!$H112,"")</f>
        <v/>
      </c>
      <c r="L107" s="58" t="s">
        <v>166</v>
      </c>
    </row>
    <row r="108" spans="1:12" ht="19.8" thickBot="1" x14ac:dyDescent="0.5">
      <c r="A108" s="43" t="s">
        <v>36</v>
      </c>
      <c r="B108" s="78"/>
      <c r="C108" s="44" t="s">
        <v>167</v>
      </c>
      <c r="D108" s="44" t="s">
        <v>168</v>
      </c>
      <c r="E108" s="44"/>
      <c r="F108" s="45">
        <v>20</v>
      </c>
      <c r="G108" s="46">
        <v>65818</v>
      </c>
      <c r="H108" s="47">
        <v>35000</v>
      </c>
      <c r="I108" s="48"/>
      <c r="J108" s="44"/>
      <c r="K108" s="49" t="str">
        <f>IF(OR('[1]OPE FON'!$I113="oui", '[1]OPE FON'!$I113="Annulé"),'[1]OPE FON'!$G113-'[1]OPE FON'!$H113,"")</f>
        <v/>
      </c>
      <c r="L108" s="44" t="s">
        <v>169</v>
      </c>
    </row>
    <row r="109" spans="1:12" ht="20.399999999999999" thickTop="1" thickBot="1" x14ac:dyDescent="0.5">
      <c r="A109" s="68" t="s">
        <v>36</v>
      </c>
      <c r="B109" s="83"/>
      <c r="C109" s="69" t="s">
        <v>170</v>
      </c>
      <c r="D109" s="70" t="s">
        <v>171</v>
      </c>
      <c r="E109" s="70"/>
      <c r="F109" s="71">
        <v>311</v>
      </c>
      <c r="G109" s="72">
        <v>65818</v>
      </c>
      <c r="H109" s="73">
        <v>5000</v>
      </c>
      <c r="I109" s="74"/>
      <c r="J109" s="70"/>
      <c r="K109" s="75" t="str">
        <f>IF(OR('[1]OPE FON'!$I114="oui", '[1]OPE FON'!$I114="Annulé"),'[1]OPE FON'!$G114-'[1]OPE FON'!$H114,"")</f>
        <v/>
      </c>
      <c r="L109" s="70" t="s">
        <v>172</v>
      </c>
    </row>
    <row r="110" spans="1:12" ht="15" thickTop="1" x14ac:dyDescent="0.3"/>
  </sheetData>
  <autoFilter ref="A1:N109" xr:uid="{BD31FAF8-4A63-4F9C-8AE1-1C3581B6B877}"/>
  <conditionalFormatting sqref="L19:L25 K19:K32 L28:L32 K2:L18 K33:L49">
    <cfRule type="expression" dxfId="20" priority="10">
      <formula>$L2="OUI"</formula>
    </cfRule>
  </conditionalFormatting>
  <conditionalFormatting sqref="L26">
    <cfRule type="expression" dxfId="19" priority="13">
      <formula>$L27="OUI"</formula>
    </cfRule>
  </conditionalFormatting>
  <conditionalFormatting sqref="A51:L58 A65:K65 A107:K108 A109:L109 A67:L71 A60:L63 B59:L59 B64:L64 B66:L66 B72:L73 A74:L106">
    <cfRule type="expression" dxfId="18" priority="8">
      <formula>$K51="OUI"</formula>
    </cfRule>
  </conditionalFormatting>
  <conditionalFormatting sqref="I51:I109">
    <cfRule type="expression" dxfId="17" priority="6">
      <formula>$J51-1&gt;$I51</formula>
    </cfRule>
    <cfRule type="expression" dxfId="16" priority="7">
      <formula>$J51/$I51&gt;0.8</formula>
    </cfRule>
  </conditionalFormatting>
  <conditionalFormatting sqref="L108">
    <cfRule type="expression" dxfId="15" priority="9">
      <formula>$K108="OUI"</formula>
    </cfRule>
  </conditionalFormatting>
  <conditionalFormatting sqref="A14:J14 A36:J36 F37:F50">
    <cfRule type="expression" dxfId="14" priority="15">
      <formula>#REF!="OUI"</formula>
    </cfRule>
  </conditionalFormatting>
  <conditionalFormatting sqref="A2:J2">
    <cfRule type="expression" dxfId="13" priority="17">
      <formula>$N1="OUI"</formula>
    </cfRule>
  </conditionalFormatting>
  <conditionalFormatting sqref="I15:I35 I3:I13">
    <cfRule type="expression" dxfId="12" priority="21">
      <formula>$K2-1&gt;$J3</formula>
    </cfRule>
    <cfRule type="expression" dxfId="11" priority="22">
      <formula>$K2/$J3&gt;0.8</formula>
    </cfRule>
  </conditionalFormatting>
  <conditionalFormatting sqref="I14 I36">
    <cfRule type="expression" dxfId="10" priority="30">
      <formula>#REF!-1&gt;$J14</formula>
    </cfRule>
    <cfRule type="expression" dxfId="9" priority="31">
      <formula>#REF!/$J14&gt;0.8</formula>
    </cfRule>
  </conditionalFormatting>
  <conditionalFormatting sqref="A59">
    <cfRule type="expression" dxfId="8" priority="5">
      <formula>$N58="OUI"</formula>
    </cfRule>
  </conditionalFormatting>
  <conditionalFormatting sqref="A64">
    <cfRule type="expression" dxfId="7" priority="4">
      <formula>$N63="OUI"</formula>
    </cfRule>
  </conditionalFormatting>
  <conditionalFormatting sqref="A66">
    <cfRule type="expression" dxfId="6" priority="3">
      <formula>$N65="OUI"</formula>
    </cfRule>
  </conditionalFormatting>
  <conditionalFormatting sqref="A72">
    <cfRule type="expression" dxfId="5" priority="2">
      <formula>$N71="OUI"</formula>
    </cfRule>
  </conditionalFormatting>
  <conditionalFormatting sqref="A73">
    <cfRule type="expression" dxfId="4" priority="1">
      <formula>$N72="OUI"</formula>
    </cfRule>
  </conditionalFormatting>
  <conditionalFormatting sqref="M1:N1">
    <cfRule type="expression" dxfId="3" priority="34">
      <formula>$N1="OUI"</formula>
    </cfRule>
  </conditionalFormatting>
  <conditionalFormatting sqref="A3:J13 A15:J35 A37:E50 G37:J50">
    <cfRule type="expression" dxfId="2" priority="43">
      <formula>$L2="OUI"</formula>
    </cfRule>
  </conditionalFormatting>
  <conditionalFormatting sqref="I2">
    <cfRule type="expression" dxfId="1" priority="49">
      <formula>$M1-1&gt;$J2</formula>
    </cfRule>
    <cfRule type="expression" dxfId="0" priority="50">
      <formula>$M1/$J2&gt;0.8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CHEVALIER Marc</dc:creator>
  <cp:lastModifiedBy>CHEVALIER Marc</cp:lastModifiedBy>
  <dcterms:created xsi:type="dcterms:W3CDTF">2026-03-06T15:36:57Z</dcterms:created>
  <dcterms:modified xsi:type="dcterms:W3CDTF">2026-03-06T15:42:43Z</dcterms:modified>
</cp:coreProperties>
</file>